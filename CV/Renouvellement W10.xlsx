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plitudesurgical.sharepoint.com/sites/TEAMSIInfra/Documents partages/General/"/>
    </mc:Choice>
  </mc:AlternateContent>
  <xr:revisionPtr revIDLastSave="1809" documentId="13_ncr:1_{8A1F25D2-571F-4F37-82A6-659EB13A629A}" xr6:coauthVersionLast="47" xr6:coauthVersionMax="47" xr10:uidLastSave="{530C63E6-049F-47C9-8906-1E51903E56FC}"/>
  <bookViews>
    <workbookView xWindow="-120" yWindow="-120" windowWidth="29040" windowHeight="17520" tabRatio="671" activeTab="1" xr2:uid="{3F239DDC-6EE9-4A49-9351-59FCEDD362AC}"/>
  </bookViews>
  <sheets>
    <sheet name="Parc" sheetId="1" r:id="rId1"/>
    <sheet name="W11-&gt;25H2" sheetId="3" r:id="rId2"/>
    <sheet name="Avancement" sheetId="2" r:id="rId3"/>
  </sheets>
  <definedNames>
    <definedName name="_xlnm._FilterDatabase" localSheetId="0" hidden="1">Parc!$A$1:$BS$105</definedName>
    <definedName name="ZZZ">Parc!$CTC$105</definedName>
    <definedName name="ZZZ105">Parc!$CTC$105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E5" i="2" a="1"/>
  <c r="E5" i="2" s="1"/>
  <c r="E6" i="2" a="1"/>
  <c r="E6" i="2" s="1"/>
  <c r="E4" i="2" a="1"/>
  <c r="E4" i="2" s="1"/>
  <c r="E3" i="2" a="1"/>
  <c r="E3" i="2" s="1"/>
  <c r="C3" i="2" a="1"/>
  <c r="C3" i="2" s="1"/>
  <c r="E7" i="2" a="1"/>
  <c r="E7" i="2" s="1"/>
  <c r="C8" i="2"/>
  <c r="C5" i="2" a="1"/>
  <c r="C5" i="2" s="1"/>
  <c r="C4" i="2" a="1"/>
  <c r="C4" i="2" s="1"/>
  <c r="C6" i="2" a="1"/>
  <c r="C6" i="2" s="1"/>
  <c r="C7" i="2"/>
  <c r="E8" i="2" a="1"/>
  <c r="E8" i="2" s="1"/>
  <c r="F6" i="2" l="1"/>
  <c r="F7" i="2"/>
  <c r="F5" i="2"/>
  <c r="F8" i="2"/>
  <c r="F4" i="2"/>
  <c r="F3" i="2"/>
  <c r="C2" i="2"/>
  <c r="E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<sst xmlns="http://schemas.openxmlformats.org/spreadsheetml/2006/main" count="4948" uniqueCount="813">
  <si>
    <t>Endpoint Name</t>
  </si>
  <si>
    <t>Last Logged In User</t>
  </si>
  <si>
    <t>ACTIONS</t>
  </si>
  <si>
    <t>Date d'exdecution</t>
  </si>
  <si>
    <t>Device Type</t>
  </si>
  <si>
    <t>spécifications</t>
  </si>
  <si>
    <t>Model Name</t>
  </si>
  <si>
    <t>CPU Type</t>
  </si>
  <si>
    <t>Disk Encryption</t>
  </si>
  <si>
    <t>Console Visible IP</t>
  </si>
  <si>
    <t>Agent Version</t>
  </si>
  <si>
    <t>Serial Number</t>
  </si>
  <si>
    <t>Subscribed On</t>
  </si>
  <si>
    <t>OS Version</t>
  </si>
  <si>
    <t>Architecture</t>
  </si>
  <si>
    <t>Memory</t>
  </si>
  <si>
    <t>upgrade Ram</t>
  </si>
  <si>
    <t>SUpp user</t>
  </si>
  <si>
    <t>Bâtiment</t>
  </si>
  <si>
    <t>CPU Count</t>
  </si>
  <si>
    <t>Core Count</t>
  </si>
  <si>
    <t>Management Connectivity</t>
  </si>
  <si>
    <t>Network Status</t>
  </si>
  <si>
    <t>Update Status</t>
  </si>
  <si>
    <t>Scan Status</t>
  </si>
  <si>
    <t>Last Reported IP</t>
  </si>
  <si>
    <t>Pending Uninstall</t>
  </si>
  <si>
    <t>Agent UUID</t>
  </si>
  <si>
    <t>Agent ID</t>
  </si>
  <si>
    <t>Customer Identifier</t>
  </si>
  <si>
    <t>Console Migration Status</t>
  </si>
  <si>
    <t>Operational State</t>
  </si>
  <si>
    <t>Operational State Expiration</t>
  </si>
  <si>
    <t>Last Reboot Date</t>
  </si>
  <si>
    <t>Installer Type</t>
  </si>
  <si>
    <t>Reboot Required due to Threat</t>
  </si>
  <si>
    <t>User Action Required</t>
  </si>
  <si>
    <t>Remote Profiling State</t>
  </si>
  <si>
    <t>Remote Profiling Expiration</t>
  </si>
  <si>
    <t>Storage Type</t>
  </si>
  <si>
    <t>Storage Name</t>
  </si>
  <si>
    <t>Cloud Account</t>
  </si>
  <si>
    <t>Cloud Location</t>
  </si>
  <si>
    <t>Cloud Network</t>
  </si>
  <si>
    <t>Cloud Image</t>
  </si>
  <si>
    <t>Cloud Tags</t>
  </si>
  <si>
    <t>Cloud Instance Size</t>
  </si>
  <si>
    <t>Cloud Instance ID</t>
  </si>
  <si>
    <t>Cloud Security Group</t>
  </si>
  <si>
    <t>Cluster Name</t>
  </si>
  <si>
    <t>K8s Type</t>
  </si>
  <si>
    <t>K8s Version</t>
  </si>
  <si>
    <t>Agent Namespace</t>
  </si>
  <si>
    <t>Agent Pod Name</t>
  </si>
  <si>
    <t>K8s Node Name</t>
  </si>
  <si>
    <t>K8s Node Labels</t>
  </si>
  <si>
    <t>ECS Type</t>
  </si>
  <si>
    <t>ECS Version</t>
  </si>
  <si>
    <t>ECS Cluster Name</t>
  </si>
  <si>
    <t>ECS Task Arn</t>
  </si>
  <si>
    <t>ECS Task Availability Zone</t>
  </si>
  <si>
    <t>ECS Service Name</t>
  </si>
  <si>
    <t>ECS Service Arn</t>
  </si>
  <si>
    <t>ECS Task Definition Family</t>
  </si>
  <si>
    <t>ECS Task Definition Revision</t>
  </si>
  <si>
    <t>ECS Task Definition Arn</t>
  </si>
  <si>
    <t>Is Uninstalled</t>
  </si>
  <si>
    <t>Decommissioned at</t>
  </si>
  <si>
    <t>Missing Permissions</t>
  </si>
  <si>
    <t>Service</t>
  </si>
  <si>
    <t>Réaffecté</t>
  </si>
  <si>
    <t>AMP-12-007D</t>
  </si>
  <si>
    <t>gberva</t>
  </si>
  <si>
    <t>A CHANGER</t>
  </si>
  <si>
    <t>changé 24/10/2025</t>
  </si>
  <si>
    <t>desktop</t>
  </si>
  <si>
    <t>Dell Inc. - OptiPlex 9010</t>
  </si>
  <si>
    <t>Intel(R) Core(TM) i5-3550 CPU @ 3.30GHz</t>
  </si>
  <si>
    <t>Off</t>
  </si>
  <si>
    <t>185.149.219.108</t>
  </si>
  <si>
    <t>23.4.4.223</t>
  </si>
  <si>
    <t>DPV9D5J</t>
  </si>
  <si>
    <t>May 31, 2023 06:22:10 PM</t>
  </si>
  <si>
    <t>Windows 10 Professionnel,19045</t>
  </si>
  <si>
    <t>64 bit</t>
  </si>
  <si>
    <t>8 GB</t>
  </si>
  <si>
    <t>historique</t>
  </si>
  <si>
    <t>Offline</t>
  </si>
  <si>
    <t>Connected</t>
  </si>
  <si>
    <t>Up to date</t>
  </si>
  <si>
    <t>N/A</t>
  </si>
  <si>
    <t>192.168.16.66</t>
  </si>
  <si>
    <t>No</t>
  </si>
  <si>
    <t>eba56c7003e9464990aa3f46a6594827</t>
  </si>
  <si>
    <t>Not disabled</t>
  </si>
  <si>
    <t>May 27, 2025 06:41:05 AM</t>
  </si>
  <si>
    <t>MSI</t>
  </si>
  <si>
    <t>disabled</t>
  </si>
  <si>
    <t>image</t>
  </si>
  <si>
    <t>AMP-12-022L</t>
  </si>
  <si>
    <t>pgeneau</t>
  </si>
  <si>
    <t>UPDATE</t>
  </si>
  <si>
    <t>maj 04/11/2025</t>
  </si>
  <si>
    <t>laptop</t>
  </si>
  <si>
    <t>Dell Inc. - Latitude E5530 non-vPro</t>
  </si>
  <si>
    <t>Intel(R) Core(TM) i5-3210M CPU @ 2.50GHz</t>
  </si>
  <si>
    <t>82.96.154.199</t>
  </si>
  <si>
    <t>74VZFV1</t>
  </si>
  <si>
    <t>May 02, 2024 01:30:44 PM</t>
  </si>
  <si>
    <t>4 GB</t>
  </si>
  <si>
    <t>Online</t>
  </si>
  <si>
    <t>172.20.16.29</t>
  </si>
  <si>
    <t>fdf414dd9d374882aa4c8b6975566e85</t>
  </si>
  <si>
    <t>May 21, 2025 06:22:13 AM</t>
  </si>
  <si>
    <t>AMP-13-001D</t>
  </si>
  <si>
    <t>magups</t>
  </si>
  <si>
    <t>MAJ 26/11/2025</t>
  </si>
  <si>
    <t>Venir de 12H30 à 13H30</t>
  </si>
  <si>
    <t>Dell Inc. - OptiPlex 3020</t>
  </si>
  <si>
    <t>Intel(R) Core(TM) i3-4130 CPU @ 3.40GHz</t>
  </si>
  <si>
    <t>1YTQPZ1</t>
  </si>
  <si>
    <t>Jun 07, 2023 03:04:20 PM</t>
  </si>
  <si>
    <t>4&gt;8</t>
  </si>
  <si>
    <t>Logistique</t>
  </si>
  <si>
    <t>192.168.16.137</t>
  </si>
  <si>
    <t>dfe61ac38445401d87ff8822e738a40c</t>
  </si>
  <si>
    <t>May 20, 2025 12:21:53 PM</t>
  </si>
  <si>
    <t>Magasin</t>
  </si>
  <si>
    <t>AMP-13-002D</t>
  </si>
  <si>
    <t>icontrole</t>
  </si>
  <si>
    <t>maj 22/10/2025</t>
  </si>
  <si>
    <t>Dell Inc. - OptiPlex 3010</t>
  </si>
  <si>
    <t>Intel(R) Core(TM) i3-3220 CPU @ 3.30GHz</t>
  </si>
  <si>
    <t>54F3J5J</t>
  </si>
  <si>
    <t>Jun 07, 2023 03:05:11 PM</t>
  </si>
  <si>
    <t>192.168.17.160</t>
  </si>
  <si>
    <t>e834e98bcbfd494b918ae3399ea5d051</t>
  </si>
  <si>
    <t>May 19, 2025 01:06:09 PM</t>
  </si>
  <si>
    <t>contrôle qualité</t>
  </si>
  <si>
    <t>AMP-13-011D</t>
  </si>
  <si>
    <t>banc_test</t>
  </si>
  <si>
    <t>MAJ 10/12/2025</t>
  </si>
  <si>
    <t>Attendre autorisation Arnaud</t>
  </si>
  <si>
    <t>Dell Inc. - Precision T1650</t>
  </si>
  <si>
    <t>Intel(R) Core(TM) i7-3770 CPU @ 3.40GHz</t>
  </si>
  <si>
    <t>16M8WX1</t>
  </si>
  <si>
    <t>Jun 06, 2023 01:29:14 PM</t>
  </si>
  <si>
    <t>Historique</t>
  </si>
  <si>
    <t>192.168.17.2</t>
  </si>
  <si>
    <t>db6c5259662c4f16ab356c5f233f1dfd</t>
  </si>
  <si>
    <t>May 19, 2025 07:50:55 AM</t>
  </si>
  <si>
    <t>EOL / LABO</t>
  </si>
  <si>
    <t>AMP-13-021D</t>
  </si>
  <si>
    <t>MAJ le 08/12/2025</t>
  </si>
  <si>
    <t>voir avec Djamel</t>
  </si>
  <si>
    <t>Dell Inc. - Precision T1700</t>
  </si>
  <si>
    <t>Intel(R) Core(TM) i7-4770 CPU @ 3.40GHz</t>
  </si>
  <si>
    <t>3C9GGZ1</t>
  </si>
  <si>
    <t>Jun 07, 2023 03:09:29 PM</t>
  </si>
  <si>
    <t>16 GB</t>
  </si>
  <si>
    <t>192.168.17.152</t>
  </si>
  <si>
    <t>df06255281b94da1984102f67dc6c7dd</t>
  </si>
  <si>
    <t>May 27, 2025 09:11:01 AM</t>
  </si>
  <si>
    <t xml:space="preserve">contrôle qualité </t>
  </si>
  <si>
    <t>AMP-13-023D</t>
  </si>
  <si>
    <t>sremil</t>
  </si>
  <si>
    <t>Changé le 11/12/2025</t>
  </si>
  <si>
    <t>69TD3Y1</t>
  </si>
  <si>
    <t>Jun 08, 2023 08:34:42 AM</t>
  </si>
  <si>
    <t>192.168.16.100</t>
  </si>
  <si>
    <t>7ad66fe5cc4540c081270684da53f2b4</t>
  </si>
  <si>
    <t>May 15, 2025 06:46:32 AM</t>
  </si>
  <si>
    <t>Compta</t>
  </si>
  <si>
    <t>AMP-14-005D</t>
  </si>
  <si>
    <t>abaillot</t>
  </si>
  <si>
    <t>maj 29/10/2025</t>
  </si>
  <si>
    <t>3ZTQPZ1</t>
  </si>
  <si>
    <t>Jun 13, 2023 09:27:56 AM</t>
  </si>
  <si>
    <t>Completed( Apr 05, 2024 06:41:52 AM )</t>
  </si>
  <si>
    <t>172.17.10.157</t>
  </si>
  <si>
    <t>d461ffe4013748d698dd1cc843cd66d7</t>
  </si>
  <si>
    <t>May 23, 2025 02:50:02 PM</t>
  </si>
  <si>
    <t>compta</t>
  </si>
  <si>
    <t>AMP-14-008D</t>
  </si>
  <si>
    <t>jmortier</t>
  </si>
  <si>
    <t>MAJ 12/11/25</t>
  </si>
  <si>
    <t>Voir avec Djamel</t>
  </si>
  <si>
    <t>BJXBV02</t>
  </si>
  <si>
    <t>May 24, 2023 07:53:22 PM</t>
  </si>
  <si>
    <t>PROD</t>
  </si>
  <si>
    <t>192.168.17.17</t>
  </si>
  <si>
    <t>1db44efd38f64505bee6cf99508f9daa</t>
  </si>
  <si>
    <t>May 19, 2025 07:09:39 AM</t>
  </si>
  <si>
    <t>contrôle qualité (métrologie)</t>
  </si>
  <si>
    <t>AMP-14-010L</t>
  </si>
  <si>
    <t>qlaulagnet</t>
  </si>
  <si>
    <t>MAJ 25/11/2025</t>
  </si>
  <si>
    <t>A faire le 25/11 MATIN</t>
  </si>
  <si>
    <t>Dell Inc. - Precision M4800</t>
  </si>
  <si>
    <t>Intel(R) Core(TM) i7-4800MQ CPU @ 2.70GHz</t>
  </si>
  <si>
    <t>On</t>
  </si>
  <si>
    <t>7MHLYZ1</t>
  </si>
  <si>
    <t>Jun 07, 2023 07:15:30 AM</t>
  </si>
  <si>
    <t>192.168.17.149</t>
  </si>
  <si>
    <t>6ce2b51a1648454c944b7045a6714778</t>
  </si>
  <si>
    <t>May 21, 2025 07:46:08 AM</t>
  </si>
  <si>
    <t>logistique</t>
  </si>
  <si>
    <t>AMP-14-012D</t>
  </si>
  <si>
    <t>rreverchon</t>
  </si>
  <si>
    <t>maj 30/10/2025</t>
  </si>
  <si>
    <t>BPSP212</t>
  </si>
  <si>
    <t>Jun 08, 2023 08:37:24 AM</t>
  </si>
  <si>
    <t>Windows 10 Pro,19045</t>
  </si>
  <si>
    <t>192.168.17.140</t>
  </si>
  <si>
    <t>392785bfabc041d2a585db3881d15109</t>
  </si>
  <si>
    <t>May 20, 2025 06:08:09 AM</t>
  </si>
  <si>
    <t>réception</t>
  </si>
  <si>
    <t>AMP-14-018D</t>
  </si>
  <si>
    <t>Administrateur</t>
  </si>
  <si>
    <t>MAJ 13/11/2025</t>
  </si>
  <si>
    <t>3LDN212</t>
  </si>
  <si>
    <t>May 31, 2023 06:23:39 PM</t>
  </si>
  <si>
    <t>192.168.17.42</t>
  </si>
  <si>
    <t>87d6295c77cd4caab856b03f03cfa9bc</t>
  </si>
  <si>
    <t>May 27, 2025 12:21:04 PM</t>
  </si>
  <si>
    <t>AMP-14-028D</t>
  </si>
  <si>
    <t>sbarthelemy</t>
  </si>
  <si>
    <t>changé 25/11/2025</t>
  </si>
  <si>
    <t>3QSP212</t>
  </si>
  <si>
    <t>Jun 08, 2023 08:40:10 AM</t>
  </si>
  <si>
    <t>192.168.16.26</t>
  </si>
  <si>
    <t>c58d9f19daec4a9aa6ce216a8f8e822f</t>
  </si>
  <si>
    <t>May 15, 2025 06:03:50 AM</t>
  </si>
  <si>
    <t>achats</t>
  </si>
  <si>
    <t>AMP-14-058D</t>
  </si>
  <si>
    <t>cboutaud</t>
  </si>
  <si>
    <t>Dylan s'en occupera</t>
  </si>
  <si>
    <t xml:space="preserve">trouver un créneau avec Adrien </t>
  </si>
  <si>
    <t>Intel(R) Core(TM) i7-4790 CPU @ 3.60GHz</t>
  </si>
  <si>
    <t>3ZPMJ32</t>
  </si>
  <si>
    <t>Jun 05, 2023 05:32:14 PM</t>
  </si>
  <si>
    <t>192.168.16.106</t>
  </si>
  <si>
    <t>51b48313da64452e953a9d048d9e9e65</t>
  </si>
  <si>
    <t>May 19, 2025 06:36:05 AM</t>
  </si>
  <si>
    <t>AMP-15-001D</t>
  </si>
  <si>
    <t>mmoreira</t>
  </si>
  <si>
    <t>maj 27/10/2025</t>
  </si>
  <si>
    <t>Intel(R) Core(TM) i3-4150 CPU @ 3.50GHz</t>
  </si>
  <si>
    <t>BPD0J42</t>
  </si>
  <si>
    <t>Jun 08, 2023 08:48:00 AM</t>
  </si>
  <si>
    <t>mperrod, mmoreira, lmarion, vwrobleski,stracol, compte inconnu</t>
  </si>
  <si>
    <t>192.168.16.101</t>
  </si>
  <si>
    <t>0f036b71836243a48badfc6a2a2f2b5e</t>
  </si>
  <si>
    <t>May 21, 2025 06:43:13 AM</t>
  </si>
  <si>
    <t>AMP-15-003D</t>
  </si>
  <si>
    <t>llarue</t>
  </si>
  <si>
    <t>DCF0J42</t>
  </si>
  <si>
    <t>Jun 08, 2023 08:49:15 AM</t>
  </si>
  <si>
    <t>192.168.16.113</t>
  </si>
  <si>
    <t>9269f00d0ea34357b2dc3addc4f0ff74</t>
  </si>
  <si>
    <t>May 21, 2025 06:22:03 AM</t>
  </si>
  <si>
    <t>AMP-15-006D</t>
  </si>
  <si>
    <t>jllaquet</t>
  </si>
  <si>
    <t>maj 31/10/2025</t>
  </si>
  <si>
    <t>F0F0J42</t>
  </si>
  <si>
    <t>Jun 08, 2023 08:50:19 AM</t>
  </si>
  <si>
    <t>192.168.16.233</t>
  </si>
  <si>
    <t>6174e4cbb1764c96a1685dc00f09f58e</t>
  </si>
  <si>
    <t>May 15, 2025 06:30:08 AM</t>
  </si>
  <si>
    <t>AMP-15-007D</t>
  </si>
  <si>
    <t>gleger</t>
  </si>
  <si>
    <t>DJD0J42</t>
  </si>
  <si>
    <t>Jun 08, 2023 08:50:43 AM</t>
  </si>
  <si>
    <t>192.168.17.85</t>
  </si>
  <si>
    <t>8ff0b984efb2490e8d48281832ea23ba</t>
  </si>
  <si>
    <t>May 14, 2025 07:26:10 AM</t>
  </si>
  <si>
    <t>SAV</t>
  </si>
  <si>
    <t>AMP-15-025L</t>
  </si>
  <si>
    <t>aughettomonfrin</t>
  </si>
  <si>
    <t>changé 23/09/2025</t>
  </si>
  <si>
    <t>Dell Inc. - Latitude E5550</t>
  </si>
  <si>
    <t>Intel(R) Core(TM) i5-5300U CPU @ 2.30GHz</t>
  </si>
  <si>
    <t>BP9B262</t>
  </si>
  <si>
    <t>Jun 12, 2023 07:44:45 AM</t>
  </si>
  <si>
    <t>Completed( Jul 05, 2024 07:43:32 AM )</t>
  </si>
  <si>
    <t>192.168.16.34</t>
  </si>
  <si>
    <t>6e24571638d24494a276b861368155fb</t>
  </si>
  <si>
    <t>May 19, 2025 06:07:18 AM</t>
  </si>
  <si>
    <t>NON</t>
  </si>
  <si>
    <t>AMP-15-027D</t>
  </si>
  <si>
    <t>6KG8832</t>
  </si>
  <si>
    <t>AMP-15-028L</t>
  </si>
  <si>
    <t>ggiammona</t>
  </si>
  <si>
    <t>changé 06/08/2025</t>
  </si>
  <si>
    <t>6MZW262</t>
  </si>
  <si>
    <t>Jun 08, 2023 09:18:40 AM</t>
  </si>
  <si>
    <t>192.168.17.75</t>
  </si>
  <si>
    <t>d344295c7059494ba43ddb402e1f17cc</t>
  </si>
  <si>
    <t>May 15, 2025 06:46:01 AM</t>
  </si>
  <si>
    <t>AMP-15-033L</t>
  </si>
  <si>
    <t>educharne</t>
  </si>
  <si>
    <t>changé 25/07/2025</t>
  </si>
  <si>
    <t>2XSW262</t>
  </si>
  <si>
    <t>Jun 08, 2023 02:55:56 PM</t>
  </si>
  <si>
    <t>192.168.16.178</t>
  </si>
  <si>
    <t>21e9c65b4b6e4c5cab123ff78d5bf8ae</t>
  </si>
  <si>
    <t>May 15, 2025 06:19:20 AM</t>
  </si>
  <si>
    <t>AMP-15-038D</t>
  </si>
  <si>
    <t>maj 23/10/2025</t>
  </si>
  <si>
    <t>Dell Inc. - OptiPlex 3020M</t>
  </si>
  <si>
    <t>Intel(R) Core(TM) i3-4160T CPU @ 3.10GHz</t>
  </si>
  <si>
    <t>7B15C92</t>
  </si>
  <si>
    <t>Jun 08, 2023 09:33:16 AM</t>
  </si>
  <si>
    <t>192.168.17.100</t>
  </si>
  <si>
    <t>dcabf2c24946471189dc6a2a00e38a27</t>
  </si>
  <si>
    <t>May 19, 2025 06:17:39 AM</t>
  </si>
  <si>
    <t>AMP-15-039D</t>
  </si>
  <si>
    <t>sleclercq</t>
  </si>
  <si>
    <t>7BV3C92</t>
  </si>
  <si>
    <t>Jan 08, 2025 07:57:06 AM</t>
  </si>
  <si>
    <t>192.168.16.107</t>
  </si>
  <si>
    <t>087463070c1a406c90dd3d117d42699f</t>
  </si>
  <si>
    <t>May 16, 2025 06:14:28 AM</t>
  </si>
  <si>
    <t>Viken</t>
  </si>
  <si>
    <t>AMP-15-045L</t>
  </si>
  <si>
    <t>cplantier</t>
  </si>
  <si>
    <t>changé 28/07/2025</t>
  </si>
  <si>
    <t>9GQGF72</t>
  </si>
  <si>
    <t>Jun 08, 2023 09:34:41 AM</t>
  </si>
  <si>
    <t>192.168.16.18</t>
  </si>
  <si>
    <t>dc03e04b27b842b29f128a86f476a7aa</t>
  </si>
  <si>
    <t>May 15, 2025 05:50:45 AM</t>
  </si>
  <si>
    <t>AMP-15-046D</t>
  </si>
  <si>
    <t>jrenault</t>
  </si>
  <si>
    <t>7B78C92</t>
  </si>
  <si>
    <t>Jun 08, 2023 09:36:06 AM</t>
  </si>
  <si>
    <t>192.168.17.60</t>
  </si>
  <si>
    <t>15f6d7ed51f14a999022932b56f7b5a6</t>
  </si>
  <si>
    <t>May 19, 2025 03:08:55 PM</t>
  </si>
  <si>
    <t>Réception</t>
  </si>
  <si>
    <t>AMP-16-001D</t>
  </si>
  <si>
    <t>Dell Inc. - Precision Tower 5810</t>
  </si>
  <si>
    <t>Intel(R) Xeon(R) CPU E5-1607 v3 @ 3.10GHz</t>
  </si>
  <si>
    <t>6JSCWC2</t>
  </si>
  <si>
    <t>Jun 07, 2023 03:29:18 PM</t>
  </si>
  <si>
    <t>192.168.17.109</t>
  </si>
  <si>
    <t>5951968328834077af520741352111ee</t>
  </si>
  <si>
    <t>May 21, 2025 06:29:14 AM</t>
  </si>
  <si>
    <t>AMP-16-010D</t>
  </si>
  <si>
    <t>lvabre</t>
  </si>
  <si>
    <t>Dell Inc. - OptiPlex 3040</t>
  </si>
  <si>
    <t>Intel(R) Core(TM) i3-6100T CPU @ 3.20GHz</t>
  </si>
  <si>
    <t>6XJ98C2</t>
  </si>
  <si>
    <t>Apr 09, 2025 07:41:47 AM</t>
  </si>
  <si>
    <t>192.168.16.111</t>
  </si>
  <si>
    <t>85c3398f8e16469cb4f7ea3d3be4a7b2</t>
  </si>
  <si>
    <t>May 19, 2025 07:10:19 AM</t>
  </si>
  <si>
    <t>AMP-16-012L</t>
  </si>
  <si>
    <t>nmathieu</t>
  </si>
  <si>
    <t>changé 21/10/2025</t>
  </si>
  <si>
    <t>GDXBJ72</t>
  </si>
  <si>
    <t>Jun 12, 2023 09:30:07 AM</t>
  </si>
  <si>
    <t>192.168.152.18</t>
  </si>
  <si>
    <t>e3f993ecb7b14d8f9dab5471d0d15149</t>
  </si>
  <si>
    <t>May 15, 2025 05:47:18 AM</t>
  </si>
  <si>
    <t>AMP-16-018L</t>
  </si>
  <si>
    <t>sdecorme</t>
  </si>
  <si>
    <t>changé 08/08/2025</t>
  </si>
  <si>
    <t>Dell Inc. - Latitude E5570</t>
  </si>
  <si>
    <t>Intel(R) Core(TM) i5-6300U CPU @ 2.40GHz</t>
  </si>
  <si>
    <t>H2DFJC2</t>
  </si>
  <si>
    <t>Jun 08, 2023 09:37:44 AM</t>
  </si>
  <si>
    <t>192.168.17.16</t>
  </si>
  <si>
    <t>afd47a26970a4532b03b416192143f47</t>
  </si>
  <si>
    <t>May 19, 2025 07:45:40 AM</t>
  </si>
  <si>
    <t>AMP-16-020D</t>
  </si>
  <si>
    <t>mperrod</t>
  </si>
  <si>
    <t>6XP28C2</t>
  </si>
  <si>
    <t>Jun 08, 2023 09:38:33 AM</t>
  </si>
  <si>
    <t>192.168.17.96</t>
  </si>
  <si>
    <t>451390ec8ef24a8aa1296f91a06b3989</t>
  </si>
  <si>
    <t>May 19, 2025 06:47:40 AM</t>
  </si>
  <si>
    <t>contrôle qualité(métrologie)</t>
  </si>
  <si>
    <t>AMP-16-021D</t>
  </si>
  <si>
    <t>ffraisse</t>
  </si>
  <si>
    <t>2BLTGD2</t>
  </si>
  <si>
    <t>Jun 07, 2023 03:32:12 PM</t>
  </si>
  <si>
    <t>192.168.17.49</t>
  </si>
  <si>
    <t>0002021fab514d11abeba3e86efe2e8e</t>
  </si>
  <si>
    <t>May 14, 2025 11:34:21 AM</t>
  </si>
  <si>
    <t>Prepa</t>
  </si>
  <si>
    <t>AMP-16-022L</t>
  </si>
  <si>
    <t>tvignal</t>
  </si>
  <si>
    <t>changé 10/09/2025</t>
  </si>
  <si>
    <t>JV4FJC2</t>
  </si>
  <si>
    <t>Jun 08, 2023 09:39:35 AM</t>
  </si>
  <si>
    <t>192.168.17.27</t>
  </si>
  <si>
    <t>16133cc9ff1a4522a56e0402b0f44c34</t>
  </si>
  <si>
    <t>May 14, 2025 07:58:41 AM</t>
  </si>
  <si>
    <t>AMP-16-024D</t>
  </si>
  <si>
    <t>prtEOL</t>
  </si>
  <si>
    <t>2BWWGD2</t>
  </si>
  <si>
    <t>Jun 06, 2023 08:25:11 AM</t>
  </si>
  <si>
    <t>192.168.16.124</t>
  </si>
  <si>
    <t>9474c465c772405f851dc6f1d31331e2</t>
  </si>
  <si>
    <t>May 16, 2025 08:48:11 AM</t>
  </si>
  <si>
    <t>Eol</t>
  </si>
  <si>
    <t>AMP-17-008L</t>
  </si>
  <si>
    <t>bguy</t>
  </si>
  <si>
    <t>changé 09/10/2025</t>
  </si>
  <si>
    <t>3VDZQF2</t>
  </si>
  <si>
    <t>Jun 08, 2023 09:44:58 AM</t>
  </si>
  <si>
    <t>192.168.16.110</t>
  </si>
  <si>
    <t>d7d2658789af45109764382a23afad58</t>
  </si>
  <si>
    <t>May 19, 2025 03:30:19 PM</t>
  </si>
  <si>
    <t>AMP-17-010EOL</t>
  </si>
  <si>
    <t>lbiet</t>
  </si>
  <si>
    <t>NE PAS TOUCHER</t>
  </si>
  <si>
    <t>iEi - B336</t>
  </si>
  <si>
    <t>Intel(R) Core(TM) i5-4300U CPU @ 1.90GHz</t>
  </si>
  <si>
    <t>10221PA00-2017-0022</t>
  </si>
  <si>
    <t>Jun 12, 2023 07:29:40 AM</t>
  </si>
  <si>
    <t>192.168.17.154</t>
  </si>
  <si>
    <t>dffe974478ae495db4176033588f3d98</t>
  </si>
  <si>
    <t>May 22, 2025 12:17:49 PM</t>
  </si>
  <si>
    <t>AMP-17-013D</t>
  </si>
  <si>
    <t>albernard</t>
  </si>
  <si>
    <t>MAJ 24/11/2025</t>
  </si>
  <si>
    <t>Dell Inc. - OptiPlex 3050</t>
  </si>
  <si>
    <t>Intel(R) Core(TM) i3-7100T CPU @ 3.40GHz</t>
  </si>
  <si>
    <t>7B3GYJ2</t>
  </si>
  <si>
    <t>Jun 07, 2023 03:35:03 PM</t>
  </si>
  <si>
    <t>192.168.16.22</t>
  </si>
  <si>
    <t>68f9a35043a94fd0a4160088fb6cf897</t>
  </si>
  <si>
    <t>May 23, 2025 01:07:21 PM</t>
  </si>
  <si>
    <t>AMP-17-016D</t>
  </si>
  <si>
    <t>sginet</t>
  </si>
  <si>
    <t>7BH7YJ2</t>
  </si>
  <si>
    <t>Jun 07, 2023 03:35:09 PM</t>
  </si>
  <si>
    <t>192.168.17.168</t>
  </si>
  <si>
    <t>10d2fb0be96c40c492faed3e5caf7128</t>
  </si>
  <si>
    <t>May 27, 2025 10:38:12 AM</t>
  </si>
  <si>
    <t>AMP-17-017EOL</t>
  </si>
  <si>
    <t>hdarnaud</t>
  </si>
  <si>
    <t>10221PA00-2017-0021</t>
  </si>
  <si>
    <t>Jun 08, 2023 09:53:16 AM</t>
  </si>
  <si>
    <t>AMP-17-020EOL</t>
  </si>
  <si>
    <t>10221PA00-2017-0023</t>
  </si>
  <si>
    <t>Jun 08, 2023 10:05:46 AM</t>
  </si>
  <si>
    <t>192.168.16.16</t>
  </si>
  <si>
    <t>1557565f53ba4ee9b8aa045a22d01a3f</t>
  </si>
  <si>
    <t>May 22, 2025 10:14:00 PM</t>
  </si>
  <si>
    <t>AMP-17-023D</t>
  </si>
  <si>
    <t>arolland</t>
  </si>
  <si>
    <t>6MD35M2</t>
  </si>
  <si>
    <t>Jun 05, 2023 11:48:02 AM</t>
  </si>
  <si>
    <t>agonon, anajim,arolland, ldavid, mperrod</t>
  </si>
  <si>
    <t>192.168.16.172</t>
  </si>
  <si>
    <t>b2856ff7b6de481b950b058d669b7e9e</t>
  </si>
  <si>
    <t>May 19, 2025 06:30:47 AM</t>
  </si>
  <si>
    <t>AMP-17-024L</t>
  </si>
  <si>
    <t>pdouriaux</t>
  </si>
  <si>
    <t>changé 11/06/2025</t>
  </si>
  <si>
    <t>Dell Inc. - Latitude 5580</t>
  </si>
  <si>
    <t>3NBYLH2</t>
  </si>
  <si>
    <t>Jun 12, 2023 10:12:28 AM</t>
  </si>
  <si>
    <t>192.168.17.127</t>
  </si>
  <si>
    <t>c7cce81958d84914927aee0f571f2349</t>
  </si>
  <si>
    <t>Apr 28, 2025 07:02:03 AM</t>
  </si>
  <si>
    <t>AMP-18-002L</t>
  </si>
  <si>
    <t>pbataillon</t>
  </si>
  <si>
    <t>changé 08/10/2025</t>
  </si>
  <si>
    <t>Intel(R) Core(TM) i5-7300U CPU @ 2.60GHz</t>
  </si>
  <si>
    <t>BZ990N2</t>
  </si>
  <si>
    <t>Jun 09, 2023 01:54:26 PM</t>
  </si>
  <si>
    <t>192.168.17.71</t>
  </si>
  <si>
    <t>acd97660f25a4765ac4ba620c5a7738a</t>
  </si>
  <si>
    <t>May 26, 2025 10:12:17 AM</t>
  </si>
  <si>
    <t>OUI</t>
  </si>
  <si>
    <t>AMP-18-004L</t>
  </si>
  <si>
    <t>abarbas</t>
  </si>
  <si>
    <t xml:space="preserve"> départ 09/10/2025</t>
  </si>
  <si>
    <t>7GV90N2</t>
  </si>
  <si>
    <t>Jun 08, 2023 07:20:40 AM</t>
  </si>
  <si>
    <t>192.168.17.83</t>
  </si>
  <si>
    <t>ff4839cd7b164cf6b1d9d7cda48686c7</t>
  </si>
  <si>
    <t>May 21, 2025 11:11:47 AM</t>
  </si>
  <si>
    <t>AMP-18-008L</t>
  </si>
  <si>
    <t>mieloy</t>
  </si>
  <si>
    <t>changé le 17/11/2025</t>
  </si>
  <si>
    <t>DW3K1N2</t>
  </si>
  <si>
    <t>Jun 07, 2023 03:40:43 PM</t>
  </si>
  <si>
    <t>169.254.99.77</t>
  </si>
  <si>
    <t>5187ea3379df4b75b3e59bd5fd9f233d</t>
  </si>
  <si>
    <t>May 21, 2025 07:01:21 AM</t>
  </si>
  <si>
    <t>AMP-18-013L</t>
  </si>
  <si>
    <t>rpourras</t>
  </si>
  <si>
    <t>maj 14/11/2025</t>
  </si>
  <si>
    <t>93.23.17.100</t>
  </si>
  <si>
    <t>CK68NN2</t>
  </si>
  <si>
    <t>Jun 08, 2023 10:11:24 AM</t>
  </si>
  <si>
    <t>AMP-18-032L</t>
  </si>
  <si>
    <t>vducrot</t>
  </si>
  <si>
    <t>changé 09/09/2025</t>
  </si>
  <si>
    <t>Dell Inc. - Latitude 5590</t>
  </si>
  <si>
    <t>H2BJRQ2</t>
  </si>
  <si>
    <t>Jun 09, 2023 01:42:34 PM</t>
  </si>
  <si>
    <t>192.168.16.85</t>
  </si>
  <si>
    <t>01f2fedbacf0473e8a1a884e4db84642</t>
  </si>
  <si>
    <t>May 21, 2025 12:44:06 PM</t>
  </si>
  <si>
    <t>AMP-18-033L</t>
  </si>
  <si>
    <t>anoizet</t>
  </si>
  <si>
    <t>maj 05/11/2025</t>
  </si>
  <si>
    <t>Latitude 5590</t>
  </si>
  <si>
    <t>8&gt;16</t>
  </si>
  <si>
    <t>Dylan</t>
  </si>
  <si>
    <t>AMP-18-034L</t>
  </si>
  <si>
    <t>lcovre</t>
  </si>
  <si>
    <t>44BJRQ2</t>
  </si>
  <si>
    <t>Jun 08, 2023 10:26:55 AM</t>
  </si>
  <si>
    <t>192.168.17.39</t>
  </si>
  <si>
    <t>cdebec639c45439cb821b0030f1b2312</t>
  </si>
  <si>
    <t>May 15, 2025 08:25:34 AM</t>
  </si>
  <si>
    <t>AMP-18-035L</t>
  </si>
  <si>
    <t>svashy</t>
  </si>
  <si>
    <t>changé le 06/11/2025</t>
  </si>
  <si>
    <t>86.207.157.34</t>
  </si>
  <si>
    <t>CPZKRQ2</t>
  </si>
  <si>
    <t>Jun 09, 2023 12:54:49 PM</t>
  </si>
  <si>
    <t>10.0.0.7</t>
  </si>
  <si>
    <t>c07fb59e27ff479f8fc88eb62d6182e2</t>
  </si>
  <si>
    <t>May 26, 2025 04:37:30 PM</t>
  </si>
  <si>
    <t>AMP-18-037D</t>
  </si>
  <si>
    <t>6MDY4M2</t>
  </si>
  <si>
    <t>Jun 12, 2023 11:08:00 AM</t>
  </si>
  <si>
    <t xml:space="preserve">djamel, gberva, victor, sébastien </t>
  </si>
  <si>
    <t>192.168.16.181</t>
  </si>
  <si>
    <t>87cbc95619464f54bbba871da6f414c9</t>
  </si>
  <si>
    <t>May 21, 2025 07:35:05 AM</t>
  </si>
  <si>
    <t>AMP-18-040L</t>
  </si>
  <si>
    <t>cjoncour</t>
  </si>
  <si>
    <t>F2D9HR2</t>
  </si>
  <si>
    <t>Jun 08, 2023 10:25:08 AM</t>
  </si>
  <si>
    <t>Completed( Dec 21, 2023 08:08:23 AM )</t>
  </si>
  <si>
    <t>192.168.16.127</t>
  </si>
  <si>
    <t>be8ae8f000f94c979b2e122984862867</t>
  </si>
  <si>
    <t>May 18, 2025 03:47:08 PM</t>
  </si>
  <si>
    <t>AMP-18-042L</t>
  </si>
  <si>
    <t>snadji</t>
  </si>
  <si>
    <t>changé 03/06/2025</t>
  </si>
  <si>
    <t>98Q6HR2</t>
  </si>
  <si>
    <t>Jun 08, 2023 10:23:03 AM</t>
  </si>
  <si>
    <t>Completed( Jul 25, 2024 09:05:23 AM )</t>
  </si>
  <si>
    <t>192.168.17.136</t>
  </si>
  <si>
    <t>153eed0e000f417fa49fefee8d11dbd8</t>
  </si>
  <si>
    <t>May 23, 2025 06:19:29 AM</t>
  </si>
  <si>
    <t>AMP-1WDJG72-L</t>
  </si>
  <si>
    <t>nchapand</t>
  </si>
  <si>
    <t>départ aout</t>
  </si>
  <si>
    <t>Intel(R) Core(TM) i7-4710MQ CPU @ 2.50GHz</t>
  </si>
  <si>
    <t>1WDJG72</t>
  </si>
  <si>
    <t>Jun 09, 2023 12:51:21 PM</t>
  </si>
  <si>
    <t>192.168.16.82</t>
  </si>
  <si>
    <t>0a79142890e14fb0b8a97b9b73f5821c</t>
  </si>
  <si>
    <t>May 20, 2025 06:17:34 AM</t>
  </si>
  <si>
    <t>AMP-20-031D</t>
  </si>
  <si>
    <t>MAJ 22/12/2025</t>
  </si>
  <si>
    <t>System manufacturer - System Product Name</t>
  </si>
  <si>
    <t>Intel(R) Core(TM) i5-9400 CPU @ 2.90GHz</t>
  </si>
  <si>
    <t>System Serial Number</t>
  </si>
  <si>
    <t>May 31, 2023 06:29:26 PM</t>
  </si>
  <si>
    <t>192.168.17.82</t>
  </si>
  <si>
    <t>6b30fd64e32b46cd8697b9e3c5b94830</t>
  </si>
  <si>
    <t>May 26, 2025 12:56:30 PM</t>
  </si>
  <si>
    <t>AMP-2B3YGD2-D</t>
  </si>
  <si>
    <t>tbrun</t>
  </si>
  <si>
    <t>2B3YGD2</t>
  </si>
  <si>
    <t>Sep 25, 2023 02:56:21 PM</t>
  </si>
  <si>
    <t>192.168.16.249</t>
  </si>
  <si>
    <t>8ee5594ed34546c49780d7d466e7dc25</t>
  </si>
  <si>
    <t>May 23, 2025 01:00:50 PM</t>
  </si>
  <si>
    <t>AMP-2BKTGD2-D</t>
  </si>
  <si>
    <t>imure</t>
  </si>
  <si>
    <t>2BKTGD2</t>
  </si>
  <si>
    <t>Nov 08, 2023 03:23:34 PM</t>
  </si>
  <si>
    <t>192.168.16.38</t>
  </si>
  <si>
    <t>5fb4f1fffaae4d3b9dcbbd4ff270cd87</t>
  </si>
  <si>
    <t>May 15, 2025 05:54:02 AM</t>
  </si>
  <si>
    <t>contrôle polissage (finition)</t>
  </si>
  <si>
    <t>AMP-338WGH2-L</t>
  </si>
  <si>
    <t>mducharne</t>
  </si>
  <si>
    <t>changé le 04/11/2025</t>
  </si>
  <si>
    <t>338WGH2</t>
  </si>
  <si>
    <t>Jul 21, 2023 01:32:40 PM</t>
  </si>
  <si>
    <t>192.168.17.56</t>
  </si>
  <si>
    <t>263f03e171b64754bb4e4e56a46e6528</t>
  </si>
  <si>
    <t>May 19, 2025 09:55:19 AM</t>
  </si>
  <si>
    <t>AMP-3WPTP12-L</t>
  </si>
  <si>
    <t xml:space="preserve">lvabre </t>
  </si>
  <si>
    <t>changé le 19/11/2025</t>
  </si>
  <si>
    <t>connecté avec imprimante</t>
  </si>
  <si>
    <t>Dell Inc. - Latitude E7440</t>
  </si>
  <si>
    <t>Intel(R) Core(TM) i7-4600U CPU @ 2.10GHz</t>
  </si>
  <si>
    <t>3WPTP12</t>
  </si>
  <si>
    <t>Aug 09, 2023 04:15:56 PM</t>
  </si>
  <si>
    <t>192.168.17.86</t>
  </si>
  <si>
    <t>6771714741974bbc96c3418db9228182</t>
  </si>
  <si>
    <t>May 21, 2025 06:22:12 AM</t>
  </si>
  <si>
    <t>AMP-44C6Y52-L</t>
  </si>
  <si>
    <t>lfayard</t>
  </si>
  <si>
    <t>changé le 11/12/2025</t>
  </si>
  <si>
    <t>attendre</t>
  </si>
  <si>
    <t>44C6Y52</t>
  </si>
  <si>
    <t>Jan 05, 2024 12:20:20 PM</t>
  </si>
  <si>
    <t>192.168.17.4</t>
  </si>
  <si>
    <t>c7c272085a4a449d9931349250a76ebc</t>
  </si>
  <si>
    <t>May 15, 2025 06:01:56 AM</t>
  </si>
  <si>
    <t>Bureau polissage</t>
  </si>
  <si>
    <t>AMP-5D56Y52-L</t>
  </si>
  <si>
    <t>pservien</t>
  </si>
  <si>
    <t>5D56Y52</t>
  </si>
  <si>
    <t>Aug 09, 2023 02:58:55 PM</t>
  </si>
  <si>
    <t>Completed( Dec 08, 2023 07:55:44 AM )</t>
  </si>
  <si>
    <t>192.168.16.237</t>
  </si>
  <si>
    <t>a6ef7951f03c4f58b134c81a0b119972</t>
  </si>
  <si>
    <t>May 15, 2025 08:58:39 AM</t>
  </si>
  <si>
    <t>AMP-5N7KF72-L</t>
  </si>
  <si>
    <t>cgounon</t>
  </si>
  <si>
    <t>changé le 12/11/2025</t>
  </si>
  <si>
    <t>5N7KF72</t>
  </si>
  <si>
    <t>May 31, 2024 10:28:54 AM</t>
  </si>
  <si>
    <t>192.168.16.90</t>
  </si>
  <si>
    <t>824bf398888a4c0287d6fa84f29f5e14</t>
  </si>
  <si>
    <t>Apr 16, 2025 09:09:06 AM</t>
  </si>
  <si>
    <t>AMP-68ZXLH2-L</t>
  </si>
  <si>
    <t>fdavignon</t>
  </si>
  <si>
    <t>68ZXLH2</t>
  </si>
  <si>
    <t>Jun 12, 2023 10:33:39 AM</t>
  </si>
  <si>
    <t>169.254.179.161</t>
  </si>
  <si>
    <t>7da314dfb07e41d5a6ccfa329a6d8c5d</t>
  </si>
  <si>
    <t>May 23, 2025 06:45:52 AM</t>
  </si>
  <si>
    <t>AMP-6MXZG62-D</t>
  </si>
  <si>
    <t>6MXZG62</t>
  </si>
  <si>
    <t>May 31, 2023 05:15:07 PM</t>
  </si>
  <si>
    <t>192.168.17.18</t>
  </si>
  <si>
    <t>eb843ffaaad54ec5857946394d5d4e4c</t>
  </si>
  <si>
    <t>May 16, 2025 01:22:46 PM</t>
  </si>
  <si>
    <t>AMP-6WZTP12-L</t>
  </si>
  <si>
    <t>aduplan</t>
  </si>
  <si>
    <t>changé 04/07/2025</t>
  </si>
  <si>
    <t>6WZTP12</t>
  </si>
  <si>
    <t>Jun 09, 2023 01:50:24 PM</t>
  </si>
  <si>
    <t>192.168.152.42</t>
  </si>
  <si>
    <t>61b8c4caf56347ac84c923b7bdce6527</t>
  </si>
  <si>
    <t>May 23, 2025 11:09:24 AM</t>
  </si>
  <si>
    <t>AMP-6XF48C2-D</t>
  </si>
  <si>
    <t>estaelen</t>
  </si>
  <si>
    <t>6XF48C2</t>
  </si>
  <si>
    <t>Aug 10, 2023 09:45:16 AM</t>
  </si>
  <si>
    <t>854d0780447e4e19bb97f37528487e10</t>
  </si>
  <si>
    <t>May 16, 2025 12:13:33 PM</t>
  </si>
  <si>
    <t>AMP-6XQ48C2-D</t>
  </si>
  <si>
    <t>Desktop</t>
  </si>
  <si>
    <t>6XQ48C2</t>
  </si>
  <si>
    <t>4GB</t>
  </si>
  <si>
    <t>bcharpenel</t>
  </si>
  <si>
    <t>Nov 08, 2023 02:07:24 PM</t>
  </si>
  <si>
    <t>192.168.16.182</t>
  </si>
  <si>
    <t>a962659a8e734b029b5d7a2a3b1a47f0</t>
  </si>
  <si>
    <t>May 14, 2025 06:33:58 AM</t>
  </si>
  <si>
    <t>AMP-7BG4C92-D</t>
  </si>
  <si>
    <t>7BG4C92</t>
  </si>
  <si>
    <t>Nov 17, 2023 10:27:06 AM</t>
  </si>
  <si>
    <t>62fc675981424b74b6a7015dc64e25bf</t>
  </si>
  <si>
    <t>May 27, 2025 06:17:58 AM</t>
  </si>
  <si>
    <t>AMP-868WGH2-L</t>
  </si>
  <si>
    <t>jfriccio</t>
  </si>
  <si>
    <t>Latitude 5580</t>
  </si>
  <si>
    <t>AMP-9ZP7NN2-L</t>
  </si>
  <si>
    <t>jbillion</t>
  </si>
  <si>
    <t>9ZP7NN2</t>
  </si>
  <si>
    <t>Feb 05, 2024 02:50:33 PM</t>
  </si>
  <si>
    <t>192.168.16.69</t>
  </si>
  <si>
    <t>090479dbc0844ea899d052ea0208dbe3</t>
  </si>
  <si>
    <t>May 16, 2025 06:39:11 AM</t>
  </si>
  <si>
    <t>AMP-B7Q6HR2-L</t>
  </si>
  <si>
    <t>acoulmier</t>
  </si>
  <si>
    <t>changé 20/10/2025</t>
  </si>
  <si>
    <t>B7Q6HR2</t>
  </si>
  <si>
    <t>Feb 02, 2024 11:02:00 AM</t>
  </si>
  <si>
    <t>192.168.17.94</t>
  </si>
  <si>
    <t>b95f7e20af6646f8bbe6a4403a00c873</t>
  </si>
  <si>
    <t>May 23, 2025 06:40:45 AM</t>
  </si>
  <si>
    <t>AMP-CKGNYZ1-L</t>
  </si>
  <si>
    <t>jhartmann</t>
  </si>
  <si>
    <t>Dell Inc. - Latitude E5540</t>
  </si>
  <si>
    <t>CKGNYZ1</t>
  </si>
  <si>
    <t>Jun 06, 2023 06:25:26 AM</t>
  </si>
  <si>
    <t>192.168.16.45</t>
  </si>
  <si>
    <t>c06a233c48ad4038baf4d9714a02deaa</t>
  </si>
  <si>
    <t>May 27, 2025 06:25:14 AM</t>
  </si>
  <si>
    <t>AMP-D89HJ72-L</t>
  </si>
  <si>
    <t>cvigneau</t>
  </si>
  <si>
    <t>changé 07/08/2025</t>
  </si>
  <si>
    <t>D89HJ72</t>
  </si>
  <si>
    <t>Jun 12, 2023 06:42:52 AM</t>
  </si>
  <si>
    <t>192.168.16.67</t>
  </si>
  <si>
    <t>2c57c4d6304841cb8915051b7e274429</t>
  </si>
  <si>
    <t>May 14, 2025 01:43:14 PM</t>
  </si>
  <si>
    <t>AMP-G6LKF72-L</t>
  </si>
  <si>
    <t>xmagarinos</t>
  </si>
  <si>
    <t>G6LKF72</t>
  </si>
  <si>
    <t>Sep 14, 2023 01:28:08 PM</t>
  </si>
  <si>
    <t>192.168.16.195</t>
  </si>
  <si>
    <t>4fdb601187b94f58a408faadcb82553b</t>
  </si>
  <si>
    <t>May 15, 2025 02:50:17 PM</t>
  </si>
  <si>
    <t>Svaschy</t>
  </si>
  <si>
    <t>AMP-HSV2H92-D</t>
  </si>
  <si>
    <t>controle_sofab</t>
  </si>
  <si>
    <t>MAJ 14/11/2025</t>
  </si>
  <si>
    <t>HSV2H92</t>
  </si>
  <si>
    <t>Jun 08, 2023 10:47:28 AM</t>
  </si>
  <si>
    <t>192.168.16.95</t>
  </si>
  <si>
    <t>8a4e8d1220b242ad81ce406c1fc1f5de</t>
  </si>
  <si>
    <t>May 15, 2025 12:49:24 PM</t>
  </si>
  <si>
    <t xml:space="preserve">contrôle qualité ( métrologie ) </t>
  </si>
  <si>
    <t>AMP-J3F0J42-D</t>
  </si>
  <si>
    <t>j3f0j42</t>
  </si>
  <si>
    <t>AMP-JCR3JR2-L</t>
  </si>
  <si>
    <t>mbernard</t>
  </si>
  <si>
    <t>Dell Inc. - Latitude 7390</t>
  </si>
  <si>
    <t>90.66.238.49</t>
  </si>
  <si>
    <t>JCR3JR2</t>
  </si>
  <si>
    <t>Nov 17, 2023 10:19:02 AM</t>
  </si>
  <si>
    <t>192.168.1.12</t>
  </si>
  <si>
    <t>7dd14f4df36e437fb35d48403dcac687</t>
  </si>
  <si>
    <t>May 19, 2025 07:52:06 AM</t>
  </si>
  <si>
    <t>SOFAB-13-003D</t>
  </si>
  <si>
    <t>marquage_sofab</t>
  </si>
  <si>
    <t xml:space="preserve">                                  -                                  </t>
  </si>
  <si>
    <t>Intel(R) Pentium(R) CPU G2020 @ 2.90GHz</t>
  </si>
  <si>
    <t xml:space="preserve">                                 </t>
  </si>
  <si>
    <t>Jan 15, 2024 02:36:25 PM</t>
  </si>
  <si>
    <t>32 bit</t>
  </si>
  <si>
    <t>3 GB</t>
  </si>
  <si>
    <t>192.168.16.108</t>
  </si>
  <si>
    <t>ec7bb1fa7b6240008ae97e9dd41b0faa</t>
  </si>
  <si>
    <t>May 26, 2025 02:33:29 PM</t>
  </si>
  <si>
    <t>Marquage Laser</t>
  </si>
  <si>
    <t>SOFAB-13-004D</t>
  </si>
  <si>
    <t>Jun 09, 2023 01:11:55 PM</t>
  </si>
  <si>
    <t>192.168.17.146</t>
  </si>
  <si>
    <t>f23a0909834c48e19744ce567656b997</t>
  </si>
  <si>
    <t>May 22, 2025 03:01:14 AM</t>
  </si>
  <si>
    <t>SOFAB-17-002D</t>
  </si>
  <si>
    <t>Changé 12/11/2025</t>
  </si>
  <si>
    <t xml:space="preserve">HP - HP ProDesk 400 G4 SFF </t>
  </si>
  <si>
    <t>Intel(R) Core(TM) i5-6500 CPU @ 3.20GHz</t>
  </si>
  <si>
    <t>CZC7288YP6</t>
  </si>
  <si>
    <t>Jul 31, 2023 03:47:39 PM</t>
  </si>
  <si>
    <t>192.168.17.47</t>
  </si>
  <si>
    <t>52964e98223241a59ded24135048e3b2</t>
  </si>
  <si>
    <t>May 19, 2025 06:04:14 AM</t>
  </si>
  <si>
    <t>SOFAB-22-003D</t>
  </si>
  <si>
    <t>ASUS - System Product Name</t>
  </si>
  <si>
    <t>Intel(R) Core(TM) i5-10400 CPU @ 2.90GHz</t>
  </si>
  <si>
    <t>amp-h90m2c4-l</t>
  </si>
  <si>
    <t>amp-77xbj72-l</t>
  </si>
  <si>
    <t>mroussin</t>
  </si>
  <si>
    <t>amp-7xd0j42-d</t>
  </si>
  <si>
    <t>LOGI</t>
  </si>
  <si>
    <t>OK</t>
  </si>
  <si>
    <t>amp-d1c6y52-l</t>
  </si>
  <si>
    <t>rsichouc</t>
  </si>
  <si>
    <t>MAINT</t>
  </si>
  <si>
    <t>amp-hld0j42-d</t>
  </si>
  <si>
    <t>adiaw</t>
  </si>
  <si>
    <t>EXPORT</t>
  </si>
  <si>
    <t>amp-3kh3h92-d</t>
  </si>
  <si>
    <t>clarpin</t>
  </si>
  <si>
    <t>COMPTA</t>
  </si>
  <si>
    <t>amp-2xrxz84-d</t>
  </si>
  <si>
    <t>UTILE ?</t>
  </si>
  <si>
    <t>amp-6ysw262-l</t>
  </si>
  <si>
    <t>msoilihi</t>
  </si>
  <si>
    <t>CSE</t>
  </si>
  <si>
    <t>amp-fhxbv02-d</t>
  </si>
  <si>
    <t>IMAGE</t>
  </si>
  <si>
    <t>amp-3657hr2-l</t>
  </si>
  <si>
    <t>tmarion</t>
  </si>
  <si>
    <t>amp-grm4c12-d</t>
  </si>
  <si>
    <t>crichard</t>
  </si>
  <si>
    <t>amp-8xt6m12-l</t>
  </si>
  <si>
    <t>mgiroud</t>
  </si>
  <si>
    <t>NB PC en W10</t>
  </si>
  <si>
    <t>Fait</t>
  </si>
  <si>
    <t>Reste à faire</t>
  </si>
  <si>
    <t>LAPTOP à changer</t>
  </si>
  <si>
    <t>LAPTOP changé</t>
  </si>
  <si>
    <t>LAPTOP à upgrade</t>
  </si>
  <si>
    <t>LAPTOP upgrade</t>
  </si>
  <si>
    <t>DESKTOP à changer</t>
  </si>
  <si>
    <t>DESKTOP changé</t>
  </si>
  <si>
    <t>DESKTOP à upgrade</t>
  </si>
  <si>
    <t>DESKTOP upgrade</t>
  </si>
  <si>
    <t>PC total à CHANGER</t>
  </si>
  <si>
    <t>PC changé</t>
  </si>
  <si>
    <t>PC total à UPGRADE</t>
  </si>
  <si>
    <t>PC mis à jour</t>
  </si>
  <si>
    <t>PC A NE PAS TOUCHER</t>
  </si>
  <si>
    <t>Bseux</t>
  </si>
  <si>
    <t>Achat</t>
  </si>
  <si>
    <t>MAJ 10/02/2026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</si>
</sst>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Calibri"/>
      <family val="2"/>
      <scheme val="minor"/>
    </font>
    <font>
      <sz val="10"/>
      <color rgb="FF262626"/>
      <name val="Lato"/>
      <charset val="1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F2D0"/>
        <bgColor rgb="FFDAF2D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8ED973"/>
      </top>
      <bottom style="thin">
        <color rgb="FF8ED973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6" fillId="37" borderId="10" xfId="0" applyFont="1" applyFill="1" applyBorder="1"/>
    <xf numFmtId="0" fontId="16" fillId="34" borderId="11" xfId="0" applyFont="1" applyFill="1" applyBorder="1"/>
    <xf numFmtId="0" fontId="16" fillId="34" borderId="12" xfId="0" applyFont="1" applyFill="1" applyBorder="1"/>
    <xf numFmtId="0" fontId="0" fillId="38" borderId="0" xfId="0" applyFill="1"/>
    <xf numFmtId="14" fontId="0" fillId="0" borderId="0" xfId="0" applyNumberFormat="1"/>
    <xf numFmtId="14" fontId="0" fillId="35" borderId="0" xfId="0" applyNumberFormat="1" applyFill="1"/>
    <xf numFmtId="14" fontId="0" fillId="36" borderId="0" xfId="0" applyNumberFormat="1" applyFill="1"/>
    <xf numFmtId="14" fontId="0" fillId="33" borderId="0" xfId="0" applyNumberFormat="1" applyFill="1"/>
    <xf numFmtId="14" fontId="0" fillId="34" borderId="0" xfId="0" applyNumberFormat="1" applyFill="1"/>
    <xf numFmtId="0" fontId="18" fillId="0" borderId="0" xfId="0" applyFont="1"/>
    <xf numFmtId="0" fontId="16" fillId="34" borderId="17" xfId="0" applyFont="1" applyFill="1" applyBorder="1"/>
    <xf numFmtId="0" fontId="16" fillId="40" borderId="18" xfId="0" applyFont="1" applyFill="1" applyBorder="1"/>
    <xf numFmtId="0" fontId="0" fillId="37" borderId="19" xfId="0" applyFill="1" applyBorder="1"/>
    <xf numFmtId="0" fontId="0" fillId="40" borderId="20" xfId="0" applyFill="1" applyBorder="1"/>
    <xf numFmtId="0" fontId="0" fillId="34" borderId="21" xfId="0" applyFill="1" applyBorder="1"/>
    <xf numFmtId="0" fontId="0" fillId="34" borderId="22" xfId="0" applyFill="1" applyBorder="1"/>
    <xf numFmtId="0" fontId="0" fillId="34" borderId="23" xfId="0" applyFill="1" applyBorder="1"/>
    <xf numFmtId="0" fontId="0" fillId="41" borderId="24" xfId="0" applyFill="1" applyBorder="1"/>
    <xf numFmtId="0" fontId="19" fillId="41" borderId="24" xfId="0" applyFont="1" applyFill="1" applyBorder="1"/>
    <xf numFmtId="0" fontId="0" fillId="0" borderId="13" xfId="0" applyBorder="1"/>
    <xf numFmtId="0" fontId="0" fillId="0" borderId="15" xfId="0" applyBorder="1"/>
    <xf numFmtId="0" fontId="0" fillId="0" borderId="14" xfId="0" applyBorder="1"/>
    <xf numFmtId="0" fontId="18" fillId="39" borderId="16" xfId="0" applyFont="1" applyFill="1" applyBorder="1"/>
    <xf numFmtId="0" fontId="0" fillId="0" borderId="0" xfId="0" applyAlignment="1">
      <alignment horizontal="center"/>
    </xf>
    <xf numFmtId="0" fontId="0" fillId="42" borderId="0" xfId="0" applyFill="1"/>
    <xf numFmtId="0" fontId="0" fillId="4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20" fillId="0" borderId="0" xfId="0" applyFont="1"/>
    <xf numFmtId="0" fontId="0" fillId="4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fichage1" id="{A78C9E75-E2C0-4161-8C8B-FA3421BD861D}">
    <nsvFilter filterId="{B953F18F-A635-4B89-AF49-A5F6CF0B4A65}" ref="A1:BS105" tableId="0"/>
  </namedSheetView>
</namedSheetView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F18F-A635-4B89-AF49-A5F6CF0B4A65}">
  <dimension ref="A1:BW83"/>
  <sheetViews>
    <sheetView topLeftCell="A34" zoomScaleNormal="100" workbookViewId="0">
      <selection activeCell="F49" sqref="F49"/>
    </sheetView>
  </sheetViews>
  <sheetFormatPr baseColWidth="10" defaultColWidth="11.42578125" defaultRowHeight="15" customHeight="1" x14ac:dyDescent="0.25"/>
  <cols>
    <col min="1" max="1" width="15.5703125" customWidth="1"/>
    <col min="2" max="2" width="20.5703125" bestFit="1" customWidth="1"/>
    <col min="3" max="3" width="19.42578125" customWidth="1"/>
    <col min="4" max="4" width="20" bestFit="1" customWidth="1"/>
    <col min="5" max="5" width="10" customWidth="1"/>
    <col min="6" max="6" width="29.5703125" bestFit="1" customWidth="1"/>
    <col min="7" max="7" width="27.85546875" customWidth="1"/>
    <col min="8" max="8" width="41.85546875" customWidth="1"/>
    <col min="9" max="9" width="17" hidden="1" customWidth="1"/>
    <col min="10" max="10" width="18.85546875" hidden="1" customWidth="1"/>
    <col min="11" max="11" width="15.85546875" hidden="1" customWidth="1"/>
    <col min="12" max="12" width="11.140625" customWidth="1"/>
    <col min="13" max="13" width="25.140625" bestFit="1" customWidth="1"/>
    <col min="14" max="14" width="30.85546875" hidden="1" customWidth="1"/>
    <col min="15" max="15" width="14.28515625" bestFit="1" customWidth="1"/>
    <col min="16" max="16" width="10.85546875" bestFit="1" customWidth="1"/>
    <col min="17" max="17" width="10.28515625" customWidth="1"/>
    <col min="18" max="18" width="11.140625" customWidth="1"/>
    <col min="19" max="19" width="14.42578125" customWidth="1"/>
    <col min="20" max="20" width="12.7109375" hidden="1" customWidth="1"/>
    <col min="21" max="21" width="13.28515625" hidden="1" customWidth="1"/>
    <col min="22" max="69" width="0" hidden="1" customWidth="1"/>
    <col min="70" max="70" width="23.42578125" bestFit="1" customWidth="1"/>
    <col min="72" max="72" width="13.42578125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5" x14ac:dyDescent="0.25">
      <c r="A2" t="s">
        <v>71</v>
      </c>
      <c r="B2" t="s">
        <v>72</v>
      </c>
      <c r="C2" t="s">
        <v>73</v>
      </c>
      <c r="D2" s="10" t="s">
        <v>74</v>
      </c>
      <c r="E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S2" t="s">
        <v>86</v>
      </c>
      <c r="T2">
        <v>1</v>
      </c>
      <c r="U2">
        <v>4</v>
      </c>
      <c r="V2" t="s">
        <v>87</v>
      </c>
      <c r="W2" t="s">
        <v>88</v>
      </c>
      <c r="X2" t="s">
        <v>89</v>
      </c>
      <c r="Y2" t="s">
        <v>90</v>
      </c>
      <c r="Z2" t="s">
        <v>91</v>
      </c>
      <c r="AA2" t="s">
        <v>92</v>
      </c>
      <c r="AB2" t="s">
        <v>93</v>
      </c>
      <c r="AC2" s="1">
        <v>1.69725E+18</v>
      </c>
      <c r="AD2" t="s">
        <v>90</v>
      </c>
      <c r="AE2" t="s">
        <v>90</v>
      </c>
      <c r="AF2" t="s">
        <v>94</v>
      </c>
      <c r="AG2" t="s">
        <v>90</v>
      </c>
      <c r="AH2" t="s">
        <v>95</v>
      </c>
      <c r="AI2" t="s">
        <v>96</v>
      </c>
      <c r="AJ2" t="s">
        <v>92</v>
      </c>
      <c r="AK2" t="s">
        <v>92</v>
      </c>
      <c r="AL2" t="s">
        <v>97</v>
      </c>
      <c r="AM2" t="s">
        <v>90</v>
      </c>
      <c r="AN2" t="s">
        <v>90</v>
      </c>
      <c r="AO2" t="s">
        <v>90</v>
      </c>
      <c r="AP2" t="s">
        <v>90</v>
      </c>
      <c r="AQ2" t="s">
        <v>90</v>
      </c>
      <c r="AR2" t="s">
        <v>90</v>
      </c>
      <c r="AS2" t="s">
        <v>90</v>
      </c>
      <c r="AT2" t="s">
        <v>90</v>
      </c>
      <c r="AU2" t="s">
        <v>90</v>
      </c>
      <c r="AV2" t="s">
        <v>90</v>
      </c>
      <c r="AW2" t="s">
        <v>90</v>
      </c>
      <c r="AX2" t="s">
        <v>90</v>
      </c>
      <c r="AY2" t="s">
        <v>90</v>
      </c>
      <c r="AZ2" t="s">
        <v>90</v>
      </c>
      <c r="BA2" t="s">
        <v>90</v>
      </c>
      <c r="BB2" t="s">
        <v>90</v>
      </c>
      <c r="BC2" t="s">
        <v>90</v>
      </c>
      <c r="BD2" t="s">
        <v>90</v>
      </c>
      <c r="BE2" t="s">
        <v>90</v>
      </c>
      <c r="BF2" t="s">
        <v>90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90</v>
      </c>
      <c r="BM2" t="s">
        <v>90</v>
      </c>
      <c r="BN2" t="s">
        <v>90</v>
      </c>
      <c r="BO2" t="s">
        <v>92</v>
      </c>
      <c r="BP2" t="s">
        <v>90</v>
      </c>
      <c r="BQ2" t="s">
        <v>90</v>
      </c>
      <c r="BR2" t="s">
        <v>98</v>
      </c>
    </row>
    <row r="3" spans="1:75" x14ac:dyDescent="0.25">
      <c r="A3" t="s">
        <v>99</v>
      </c>
      <c r="B3" t="s">
        <v>100</v>
      </c>
      <c r="C3" t="s">
        <v>101</v>
      </c>
      <c r="D3" t="s">
        <v>102</v>
      </c>
      <c r="E3" t="s">
        <v>103</v>
      </c>
      <c r="G3" t="s">
        <v>104</v>
      </c>
      <c r="H3" t="s">
        <v>105</v>
      </c>
      <c r="I3" t="s">
        <v>78</v>
      </c>
      <c r="J3" t="s">
        <v>106</v>
      </c>
      <c r="K3" t="s">
        <v>80</v>
      </c>
      <c r="L3" t="s">
        <v>107</v>
      </c>
      <c r="M3" t="s">
        <v>108</v>
      </c>
      <c r="N3" t="s">
        <v>83</v>
      </c>
      <c r="O3" t="s">
        <v>84</v>
      </c>
      <c r="P3" t="s">
        <v>109</v>
      </c>
      <c r="T3">
        <v>1</v>
      </c>
      <c r="U3">
        <v>2</v>
      </c>
      <c r="V3" t="s">
        <v>110</v>
      </c>
      <c r="W3" t="s">
        <v>88</v>
      </c>
      <c r="X3" t="s">
        <v>89</v>
      </c>
      <c r="Y3" t="s">
        <v>90</v>
      </c>
      <c r="Z3" t="s">
        <v>111</v>
      </c>
      <c r="AA3" t="s">
        <v>92</v>
      </c>
      <c r="AB3" t="s">
        <v>112</v>
      </c>
      <c r="AC3" s="1">
        <v>1.94136E+18</v>
      </c>
      <c r="AD3" t="s">
        <v>90</v>
      </c>
      <c r="AE3" t="s">
        <v>90</v>
      </c>
      <c r="AF3" t="s">
        <v>94</v>
      </c>
      <c r="AG3" t="s">
        <v>90</v>
      </c>
      <c r="AH3" t="s">
        <v>113</v>
      </c>
      <c r="AI3" t="s">
        <v>96</v>
      </c>
      <c r="AJ3" t="s">
        <v>92</v>
      </c>
      <c r="AK3" t="s">
        <v>92</v>
      </c>
      <c r="AL3" t="s">
        <v>97</v>
      </c>
      <c r="AM3" t="s">
        <v>90</v>
      </c>
      <c r="AN3" t="s">
        <v>90</v>
      </c>
      <c r="AO3" t="s">
        <v>90</v>
      </c>
      <c r="AP3" t="s">
        <v>90</v>
      </c>
      <c r="AQ3" t="s">
        <v>90</v>
      </c>
      <c r="AR3" t="s">
        <v>90</v>
      </c>
      <c r="AS3" t="s">
        <v>90</v>
      </c>
      <c r="AT3" t="s">
        <v>90</v>
      </c>
      <c r="AU3" t="s">
        <v>90</v>
      </c>
      <c r="AV3" t="s">
        <v>90</v>
      </c>
      <c r="AW3" t="s">
        <v>90</v>
      </c>
      <c r="AX3" t="s">
        <v>90</v>
      </c>
      <c r="AY3" t="s">
        <v>90</v>
      </c>
      <c r="AZ3" t="s">
        <v>90</v>
      </c>
      <c r="BA3" t="s">
        <v>90</v>
      </c>
      <c r="BB3" t="s">
        <v>90</v>
      </c>
      <c r="BC3" t="s">
        <v>90</v>
      </c>
      <c r="BD3" t="s">
        <v>90</v>
      </c>
      <c r="BE3" t="s">
        <v>90</v>
      </c>
      <c r="BF3" t="s">
        <v>90</v>
      </c>
      <c r="BG3" t="s">
        <v>90</v>
      </c>
      <c r="BH3" t="s">
        <v>90</v>
      </c>
      <c r="BI3" t="s">
        <v>90</v>
      </c>
      <c r="BJ3" t="s">
        <v>90</v>
      </c>
      <c r="BK3" t="s">
        <v>90</v>
      </c>
      <c r="BL3" t="s">
        <v>90</v>
      </c>
      <c r="BM3" t="s">
        <v>90</v>
      </c>
      <c r="BN3" t="s">
        <v>90</v>
      </c>
      <c r="BO3" t="s">
        <v>92</v>
      </c>
      <c r="BP3" t="s">
        <v>90</v>
      </c>
      <c r="BQ3" t="s">
        <v>90</v>
      </c>
    </row>
    <row r="4" spans="1:75" x14ac:dyDescent="0.25">
      <c r="A4" t="s">
        <v>114</v>
      </c>
      <c r="B4" t="s">
        <v>115</v>
      </c>
      <c r="C4" t="s">
        <v>101</v>
      </c>
      <c r="D4" t="s">
        <v>116</v>
      </c>
      <c r="E4" t="s">
        <v>75</v>
      </c>
      <c r="F4" t="s">
        <v>117</v>
      </c>
      <c r="G4" t="s">
        <v>118</v>
      </c>
      <c r="H4" t="s">
        <v>119</v>
      </c>
      <c r="I4" t="s">
        <v>78</v>
      </c>
      <c r="J4" t="s">
        <v>79</v>
      </c>
      <c r="K4" t="s">
        <v>80</v>
      </c>
      <c r="L4" t="s">
        <v>120</v>
      </c>
      <c r="M4" t="s">
        <v>121</v>
      </c>
      <c r="N4" t="s">
        <v>83</v>
      </c>
      <c r="O4" t="s">
        <v>84</v>
      </c>
      <c r="P4" t="s">
        <v>109</v>
      </c>
      <c r="Q4" t="s">
        <v>122</v>
      </c>
      <c r="S4" t="s">
        <v>123</v>
      </c>
      <c r="T4">
        <v>1</v>
      </c>
      <c r="U4">
        <v>2</v>
      </c>
      <c r="V4" t="s">
        <v>110</v>
      </c>
      <c r="W4" t="s">
        <v>88</v>
      </c>
      <c r="X4" t="s">
        <v>89</v>
      </c>
      <c r="Y4" t="s">
        <v>90</v>
      </c>
      <c r="Z4" t="s">
        <v>124</v>
      </c>
      <c r="AA4" t="s">
        <v>92</v>
      </c>
      <c r="AB4" t="s">
        <v>125</v>
      </c>
      <c r="AC4" s="1">
        <v>1.70223E+18</v>
      </c>
      <c r="AD4" t="s">
        <v>90</v>
      </c>
      <c r="AE4" t="s">
        <v>90</v>
      </c>
      <c r="AF4" t="s">
        <v>94</v>
      </c>
      <c r="AG4" t="s">
        <v>90</v>
      </c>
      <c r="AH4" t="s">
        <v>126</v>
      </c>
      <c r="AI4" t="s">
        <v>96</v>
      </c>
      <c r="AJ4" t="s">
        <v>92</v>
      </c>
      <c r="AK4" t="s">
        <v>92</v>
      </c>
      <c r="AL4" t="s">
        <v>97</v>
      </c>
      <c r="AM4" t="s">
        <v>90</v>
      </c>
      <c r="AN4" t="s">
        <v>90</v>
      </c>
      <c r="AO4" t="s">
        <v>90</v>
      </c>
      <c r="AP4" t="s">
        <v>90</v>
      </c>
      <c r="AQ4" t="s">
        <v>90</v>
      </c>
      <c r="AR4" t="s">
        <v>90</v>
      </c>
      <c r="AS4" t="s">
        <v>90</v>
      </c>
      <c r="AT4" t="s">
        <v>90</v>
      </c>
      <c r="AU4" t="s">
        <v>90</v>
      </c>
      <c r="AV4" t="s">
        <v>90</v>
      </c>
      <c r="AW4" t="s">
        <v>90</v>
      </c>
      <c r="AX4" t="s">
        <v>90</v>
      </c>
      <c r="AY4" t="s">
        <v>90</v>
      </c>
      <c r="AZ4" t="s">
        <v>90</v>
      </c>
      <c r="BA4" t="s">
        <v>90</v>
      </c>
      <c r="BB4" t="s">
        <v>90</v>
      </c>
      <c r="BC4" t="s">
        <v>90</v>
      </c>
      <c r="BD4" t="s">
        <v>90</v>
      </c>
      <c r="BE4" t="s">
        <v>90</v>
      </c>
      <c r="BF4" t="s">
        <v>90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  <c r="BL4" t="s">
        <v>90</v>
      </c>
      <c r="BM4" t="s">
        <v>90</v>
      </c>
      <c r="BN4" t="s">
        <v>90</v>
      </c>
      <c r="BO4" t="s">
        <v>92</v>
      </c>
      <c r="BP4" t="s">
        <v>90</v>
      </c>
      <c r="BQ4" t="s">
        <v>90</v>
      </c>
      <c r="BR4" t="s">
        <v>127</v>
      </c>
      <c r="BW4" s="29"/>
    </row>
    <row r="5" spans="1:75" ht="15" customHeight="1" x14ac:dyDescent="0.25">
      <c r="A5" t="s">
        <v>128</v>
      </c>
      <c r="B5" t="s">
        <v>129</v>
      </c>
      <c r="C5" t="s">
        <v>101</v>
      </c>
      <c r="D5" s="10" t="s">
        <v>130</v>
      </c>
      <c r="E5" t="s">
        <v>75</v>
      </c>
      <c r="G5" t="s">
        <v>131</v>
      </c>
      <c r="H5" t="s">
        <v>132</v>
      </c>
      <c r="I5" t="s">
        <v>78</v>
      </c>
      <c r="J5" t="s">
        <v>79</v>
      </c>
      <c r="K5" t="s">
        <v>80</v>
      </c>
      <c r="L5" t="s">
        <v>133</v>
      </c>
      <c r="M5" t="s">
        <v>134</v>
      </c>
      <c r="N5" t="s">
        <v>83</v>
      </c>
      <c r="O5" t="s">
        <v>84</v>
      </c>
      <c r="P5" t="s">
        <v>109</v>
      </c>
      <c r="Q5" t="s">
        <v>122</v>
      </c>
      <c r="S5" t="s">
        <v>86</v>
      </c>
      <c r="T5">
        <v>1</v>
      </c>
      <c r="U5">
        <v>2</v>
      </c>
      <c r="V5" t="s">
        <v>87</v>
      </c>
      <c r="W5" t="s">
        <v>88</v>
      </c>
      <c r="X5" t="s">
        <v>89</v>
      </c>
      <c r="Y5" t="s">
        <v>90</v>
      </c>
      <c r="Z5" t="s">
        <v>135</v>
      </c>
      <c r="AA5" t="s">
        <v>92</v>
      </c>
      <c r="AB5" t="s">
        <v>136</v>
      </c>
      <c r="AC5" s="1">
        <v>1.70223E+18</v>
      </c>
      <c r="AD5" t="s">
        <v>90</v>
      </c>
      <c r="AE5" t="s">
        <v>90</v>
      </c>
      <c r="AF5" t="s">
        <v>94</v>
      </c>
      <c r="AG5" t="s">
        <v>90</v>
      </c>
      <c r="AH5" t="s">
        <v>137</v>
      </c>
      <c r="AI5" t="s">
        <v>96</v>
      </c>
      <c r="AJ5" t="s">
        <v>92</v>
      </c>
      <c r="AK5" t="s">
        <v>92</v>
      </c>
      <c r="AL5" t="s">
        <v>97</v>
      </c>
      <c r="AM5" t="s">
        <v>90</v>
      </c>
      <c r="AN5" t="s">
        <v>90</v>
      </c>
      <c r="AO5" t="s">
        <v>90</v>
      </c>
      <c r="AP5" t="s">
        <v>90</v>
      </c>
      <c r="AQ5" t="s">
        <v>90</v>
      </c>
      <c r="AR5" t="s">
        <v>90</v>
      </c>
      <c r="AS5" t="s">
        <v>90</v>
      </c>
      <c r="AT5" t="s">
        <v>90</v>
      </c>
      <c r="AU5" t="s">
        <v>90</v>
      </c>
      <c r="AV5" t="s">
        <v>90</v>
      </c>
      <c r="AW5" t="s">
        <v>90</v>
      </c>
      <c r="AX5" t="s">
        <v>90</v>
      </c>
      <c r="AY5" t="s">
        <v>90</v>
      </c>
      <c r="AZ5" t="s">
        <v>90</v>
      </c>
      <c r="BA5" t="s">
        <v>90</v>
      </c>
      <c r="BB5" t="s">
        <v>90</v>
      </c>
      <c r="BC5" t="s">
        <v>90</v>
      </c>
      <c r="BD5" t="s">
        <v>90</v>
      </c>
      <c r="BE5" t="s">
        <v>90</v>
      </c>
      <c r="BF5" t="s">
        <v>90</v>
      </c>
      <c r="BG5" t="s">
        <v>90</v>
      </c>
      <c r="BH5" t="s">
        <v>90</v>
      </c>
      <c r="BI5" t="s">
        <v>90</v>
      </c>
      <c r="BJ5" t="s">
        <v>90</v>
      </c>
      <c r="BK5" t="s">
        <v>90</v>
      </c>
      <c r="BL5" t="s">
        <v>90</v>
      </c>
      <c r="BM5" t="s">
        <v>90</v>
      </c>
      <c r="BN5" t="s">
        <v>90</v>
      </c>
      <c r="BO5" t="s">
        <v>92</v>
      </c>
      <c r="BP5" t="s">
        <v>90</v>
      </c>
      <c r="BQ5" t="s">
        <v>90</v>
      </c>
      <c r="BR5" t="s">
        <v>138</v>
      </c>
    </row>
    <row r="6" spans="1:75" x14ac:dyDescent="0.25">
      <c r="A6" t="s">
        <v>139</v>
      </c>
      <c r="B6" t="s">
        <v>140</v>
      </c>
      <c r="C6" t="s">
        <v>101</v>
      </c>
      <c r="D6" t="s">
        <v>141</v>
      </c>
      <c r="E6" t="s">
        <v>75</v>
      </c>
      <c r="F6" t="s">
        <v>142</v>
      </c>
      <c r="G6" t="s">
        <v>143</v>
      </c>
      <c r="H6" t="s">
        <v>144</v>
      </c>
      <c r="I6" t="s">
        <v>78</v>
      </c>
      <c r="J6" t="s">
        <v>79</v>
      </c>
      <c r="K6" t="s">
        <v>80</v>
      </c>
      <c r="L6" t="s">
        <v>145</v>
      </c>
      <c r="M6" t="s">
        <v>146</v>
      </c>
      <c r="N6" t="s">
        <v>83</v>
      </c>
      <c r="O6" t="s">
        <v>84</v>
      </c>
      <c r="P6" t="s">
        <v>85</v>
      </c>
      <c r="S6" t="s">
        <v>147</v>
      </c>
      <c r="T6">
        <v>1</v>
      </c>
      <c r="U6">
        <v>4</v>
      </c>
      <c r="V6" t="s">
        <v>87</v>
      </c>
      <c r="W6" t="s">
        <v>88</v>
      </c>
      <c r="X6" t="s">
        <v>89</v>
      </c>
      <c r="Y6" t="s">
        <v>90</v>
      </c>
      <c r="Z6" t="s">
        <v>148</v>
      </c>
      <c r="AA6" t="s">
        <v>92</v>
      </c>
      <c r="AB6" t="s">
        <v>149</v>
      </c>
      <c r="AC6" s="1">
        <v>1.70146E+18</v>
      </c>
      <c r="AD6" t="s">
        <v>90</v>
      </c>
      <c r="AE6" t="s">
        <v>90</v>
      </c>
      <c r="AF6" t="s">
        <v>94</v>
      </c>
      <c r="AG6" t="s">
        <v>90</v>
      </c>
      <c r="AH6" t="s">
        <v>150</v>
      </c>
      <c r="AI6" t="s">
        <v>96</v>
      </c>
      <c r="AJ6" t="s">
        <v>92</v>
      </c>
      <c r="AK6" t="s">
        <v>92</v>
      </c>
      <c r="AL6" t="s">
        <v>97</v>
      </c>
      <c r="AM6" t="s">
        <v>90</v>
      </c>
      <c r="AN6" t="s">
        <v>90</v>
      </c>
      <c r="AO6" t="s">
        <v>90</v>
      </c>
      <c r="AP6" t="s">
        <v>90</v>
      </c>
      <c r="AQ6" t="s">
        <v>90</v>
      </c>
      <c r="AR6" t="s">
        <v>90</v>
      </c>
      <c r="AS6" t="s">
        <v>90</v>
      </c>
      <c r="AT6" t="s">
        <v>90</v>
      </c>
      <c r="AU6" t="s">
        <v>90</v>
      </c>
      <c r="AV6" t="s">
        <v>90</v>
      </c>
      <c r="AW6" t="s">
        <v>90</v>
      </c>
      <c r="AX6" t="s">
        <v>90</v>
      </c>
      <c r="AY6" t="s">
        <v>90</v>
      </c>
      <c r="AZ6" t="s">
        <v>90</v>
      </c>
      <c r="BA6" t="s">
        <v>90</v>
      </c>
      <c r="BB6" t="s">
        <v>90</v>
      </c>
      <c r="BC6" t="s">
        <v>90</v>
      </c>
      <c r="BD6" t="s">
        <v>90</v>
      </c>
      <c r="BE6" t="s">
        <v>90</v>
      </c>
      <c r="BF6" t="s">
        <v>90</v>
      </c>
      <c r="BG6" t="s">
        <v>90</v>
      </c>
      <c r="BH6" t="s">
        <v>90</v>
      </c>
      <c r="BI6" t="s">
        <v>90</v>
      </c>
      <c r="BJ6" t="s">
        <v>90</v>
      </c>
      <c r="BK6" t="s">
        <v>90</v>
      </c>
      <c r="BL6" t="s">
        <v>90</v>
      </c>
      <c r="BM6" t="s">
        <v>90</v>
      </c>
      <c r="BN6" t="s">
        <v>90</v>
      </c>
      <c r="BO6" t="s">
        <v>92</v>
      </c>
      <c r="BP6" t="s">
        <v>90</v>
      </c>
      <c r="BQ6" t="s">
        <v>90</v>
      </c>
      <c r="BR6" s="28" t="s">
        <v>151</v>
      </c>
    </row>
    <row r="7" spans="1:75" x14ac:dyDescent="0.25">
      <c r="A7" t="s">
        <v>152</v>
      </c>
      <c r="B7" t="s">
        <v>72</v>
      </c>
      <c r="C7" t="s">
        <v>101</v>
      </c>
      <c r="D7" t="s">
        <v>153</v>
      </c>
      <c r="E7" t="s">
        <v>75</v>
      </c>
      <c r="F7" t="s">
        <v>154</v>
      </c>
      <c r="G7" t="s">
        <v>155</v>
      </c>
      <c r="H7" t="s">
        <v>156</v>
      </c>
      <c r="I7" t="s">
        <v>78</v>
      </c>
      <c r="J7" t="s">
        <v>79</v>
      </c>
      <c r="K7" t="s">
        <v>80</v>
      </c>
      <c r="L7" t="s">
        <v>157</v>
      </c>
      <c r="M7" t="s">
        <v>158</v>
      </c>
      <c r="N7" t="s">
        <v>83</v>
      </c>
      <c r="O7" t="s">
        <v>84</v>
      </c>
      <c r="P7" t="s">
        <v>159</v>
      </c>
      <c r="S7" t="s">
        <v>86</v>
      </c>
      <c r="T7">
        <v>1</v>
      </c>
      <c r="U7">
        <v>4</v>
      </c>
      <c r="V7" t="s">
        <v>110</v>
      </c>
      <c r="W7" t="s">
        <v>88</v>
      </c>
      <c r="X7" t="s">
        <v>89</v>
      </c>
      <c r="Y7" t="s">
        <v>90</v>
      </c>
      <c r="Z7" t="s">
        <v>160</v>
      </c>
      <c r="AA7" t="s">
        <v>92</v>
      </c>
      <c r="AB7" t="s">
        <v>161</v>
      </c>
      <c r="AC7" s="1">
        <v>1.70223E+18</v>
      </c>
      <c r="AD7" t="s">
        <v>90</v>
      </c>
      <c r="AE7" t="s">
        <v>90</v>
      </c>
      <c r="AF7" t="s">
        <v>94</v>
      </c>
      <c r="AG7" t="s">
        <v>90</v>
      </c>
      <c r="AH7" t="s">
        <v>162</v>
      </c>
      <c r="AI7" t="s">
        <v>96</v>
      </c>
      <c r="AJ7" t="s">
        <v>92</v>
      </c>
      <c r="AK7" t="s">
        <v>92</v>
      </c>
      <c r="AL7" t="s">
        <v>97</v>
      </c>
      <c r="AM7" t="s">
        <v>90</v>
      </c>
      <c r="AN7" t="s">
        <v>90</v>
      </c>
      <c r="AO7" t="s">
        <v>90</v>
      </c>
      <c r="AP7" t="s">
        <v>90</v>
      </c>
      <c r="AQ7" t="s">
        <v>90</v>
      </c>
      <c r="AR7" t="s">
        <v>90</v>
      </c>
      <c r="AS7" t="s">
        <v>90</v>
      </c>
      <c r="AT7" t="s">
        <v>90</v>
      </c>
      <c r="AU7" t="s">
        <v>90</v>
      </c>
      <c r="AV7" t="s">
        <v>90</v>
      </c>
      <c r="AW7" t="s">
        <v>90</v>
      </c>
      <c r="AX7" t="s">
        <v>90</v>
      </c>
      <c r="AY7" t="s">
        <v>90</v>
      </c>
      <c r="AZ7" t="s">
        <v>90</v>
      </c>
      <c r="BA7" t="s">
        <v>90</v>
      </c>
      <c r="BB7" t="s">
        <v>90</v>
      </c>
      <c r="BC7" t="s">
        <v>90</v>
      </c>
      <c r="BD7" t="s">
        <v>90</v>
      </c>
      <c r="BE7" t="s">
        <v>90</v>
      </c>
      <c r="BF7" t="s">
        <v>90</v>
      </c>
      <c r="BG7" t="s">
        <v>90</v>
      </c>
      <c r="BH7" t="s">
        <v>90</v>
      </c>
      <c r="BI7" t="s">
        <v>90</v>
      </c>
      <c r="BJ7" t="s">
        <v>90</v>
      </c>
      <c r="BK7" t="s">
        <v>90</v>
      </c>
      <c r="BL7" t="s">
        <v>90</v>
      </c>
      <c r="BM7" t="s">
        <v>90</v>
      </c>
      <c r="BN7" t="s">
        <v>90</v>
      </c>
      <c r="BO7" t="s">
        <v>92</v>
      </c>
      <c r="BP7" t="s">
        <v>90</v>
      </c>
      <c r="BQ7" t="s">
        <v>90</v>
      </c>
      <c r="BR7" t="s">
        <v>163</v>
      </c>
    </row>
    <row r="8" spans="1:75" ht="15" customHeight="1" x14ac:dyDescent="0.25">
      <c r="A8" t="s">
        <v>164</v>
      </c>
      <c r="B8" t="s">
        <v>165</v>
      </c>
      <c r="C8" t="s">
        <v>73</v>
      </c>
      <c r="D8" t="s">
        <v>166</v>
      </c>
      <c r="E8" t="s">
        <v>75</v>
      </c>
      <c r="G8" t="s">
        <v>131</v>
      </c>
      <c r="H8" t="s">
        <v>132</v>
      </c>
      <c r="I8" t="s">
        <v>78</v>
      </c>
      <c r="J8" t="s">
        <v>79</v>
      </c>
      <c r="K8" t="s">
        <v>80</v>
      </c>
      <c r="L8" t="s">
        <v>167</v>
      </c>
      <c r="M8" t="s">
        <v>168</v>
      </c>
      <c r="N8" t="s">
        <v>83</v>
      </c>
      <c r="O8" t="s">
        <v>84</v>
      </c>
      <c r="P8" t="s">
        <v>109</v>
      </c>
      <c r="S8" t="s">
        <v>147</v>
      </c>
      <c r="T8">
        <v>1</v>
      </c>
      <c r="U8">
        <v>2</v>
      </c>
      <c r="V8" t="s">
        <v>110</v>
      </c>
      <c r="W8" t="s">
        <v>88</v>
      </c>
      <c r="X8" t="s">
        <v>89</v>
      </c>
      <c r="Y8" t="s">
        <v>90</v>
      </c>
      <c r="Z8" t="s">
        <v>169</v>
      </c>
      <c r="AA8" t="s">
        <v>92</v>
      </c>
      <c r="AB8" t="s">
        <v>170</v>
      </c>
      <c r="AC8" s="1">
        <v>1.70276E+18</v>
      </c>
      <c r="AD8" t="s">
        <v>90</v>
      </c>
      <c r="AE8" t="s">
        <v>90</v>
      </c>
      <c r="AF8" t="s">
        <v>94</v>
      </c>
      <c r="AG8" t="s">
        <v>90</v>
      </c>
      <c r="AH8" t="s">
        <v>171</v>
      </c>
      <c r="AI8" t="s">
        <v>96</v>
      </c>
      <c r="AJ8" t="s">
        <v>92</v>
      </c>
      <c r="AK8" t="s">
        <v>92</v>
      </c>
      <c r="AL8" t="s">
        <v>97</v>
      </c>
      <c r="AM8" t="s">
        <v>90</v>
      </c>
      <c r="AN8" t="s">
        <v>90</v>
      </c>
      <c r="AO8" t="s">
        <v>90</v>
      </c>
      <c r="AP8" t="s">
        <v>90</v>
      </c>
      <c r="AQ8" t="s">
        <v>90</v>
      </c>
      <c r="AR8" t="s">
        <v>90</v>
      </c>
      <c r="AS8" t="s">
        <v>90</v>
      </c>
      <c r="AT8" t="s">
        <v>90</v>
      </c>
      <c r="AU8" t="s">
        <v>90</v>
      </c>
      <c r="AV8" t="s">
        <v>90</v>
      </c>
      <c r="AW8" t="s">
        <v>90</v>
      </c>
      <c r="AX8" t="s">
        <v>90</v>
      </c>
      <c r="AY8" t="s">
        <v>90</v>
      </c>
      <c r="AZ8" t="s">
        <v>90</v>
      </c>
      <c r="BA8" t="s">
        <v>90</v>
      </c>
      <c r="BB8" t="s">
        <v>90</v>
      </c>
      <c r="BC8" t="s">
        <v>90</v>
      </c>
      <c r="BD8" t="s">
        <v>90</v>
      </c>
      <c r="BE8" t="s">
        <v>90</v>
      </c>
      <c r="BF8" t="s">
        <v>90</v>
      </c>
      <c r="BG8" t="s">
        <v>90</v>
      </c>
      <c r="BH8" t="s">
        <v>90</v>
      </c>
      <c r="BI8" t="s">
        <v>90</v>
      </c>
      <c r="BJ8" t="s">
        <v>90</v>
      </c>
      <c r="BK8" t="s">
        <v>90</v>
      </c>
      <c r="BL8" t="s">
        <v>90</v>
      </c>
      <c r="BM8" t="s">
        <v>90</v>
      </c>
      <c r="BN8" t="s">
        <v>90</v>
      </c>
      <c r="BO8" t="s">
        <v>92</v>
      </c>
      <c r="BP8" t="s">
        <v>90</v>
      </c>
      <c r="BQ8" t="s">
        <v>90</v>
      </c>
      <c r="BR8" t="s">
        <v>172</v>
      </c>
    </row>
    <row r="9" spans="1:75" x14ac:dyDescent="0.25">
      <c r="A9" t="s">
        <v>173</v>
      </c>
      <c r="B9" t="s">
        <v>174</v>
      </c>
      <c r="C9" t="s">
        <v>101</v>
      </c>
      <c r="D9" s="10" t="s">
        <v>175</v>
      </c>
      <c r="E9" t="s">
        <v>75</v>
      </c>
      <c r="G9" t="s">
        <v>118</v>
      </c>
      <c r="H9" t="s">
        <v>119</v>
      </c>
      <c r="I9" t="s">
        <v>78</v>
      </c>
      <c r="J9" t="s">
        <v>79</v>
      </c>
      <c r="K9" t="s">
        <v>80</v>
      </c>
      <c r="L9" t="s">
        <v>176</v>
      </c>
      <c r="M9" t="s">
        <v>177</v>
      </c>
      <c r="N9" t="s">
        <v>83</v>
      </c>
      <c r="O9" t="s">
        <v>84</v>
      </c>
      <c r="P9" t="s">
        <v>109</v>
      </c>
      <c r="Q9" t="s">
        <v>122</v>
      </c>
      <c r="S9" t="s">
        <v>86</v>
      </c>
      <c r="T9">
        <v>1</v>
      </c>
      <c r="U9">
        <v>2</v>
      </c>
      <c r="V9" t="s">
        <v>87</v>
      </c>
      <c r="W9" t="s">
        <v>88</v>
      </c>
      <c r="X9" t="s">
        <v>89</v>
      </c>
      <c r="Y9" t="s">
        <v>178</v>
      </c>
      <c r="Z9" t="s">
        <v>179</v>
      </c>
      <c r="AA9" t="s">
        <v>92</v>
      </c>
      <c r="AB9" t="s">
        <v>180</v>
      </c>
      <c r="AC9" s="1">
        <v>1.70641E+18</v>
      </c>
      <c r="AD9" t="s">
        <v>90</v>
      </c>
      <c r="AE9" t="s">
        <v>90</v>
      </c>
      <c r="AF9" t="s">
        <v>94</v>
      </c>
      <c r="AG9" t="s">
        <v>90</v>
      </c>
      <c r="AH9" t="s">
        <v>181</v>
      </c>
      <c r="AI9" t="s">
        <v>96</v>
      </c>
      <c r="AJ9" t="s">
        <v>92</v>
      </c>
      <c r="AK9" t="s">
        <v>92</v>
      </c>
      <c r="AL9" t="s">
        <v>97</v>
      </c>
      <c r="AM9" t="s">
        <v>90</v>
      </c>
      <c r="AN9" t="s">
        <v>90</v>
      </c>
      <c r="AO9" t="s">
        <v>90</v>
      </c>
      <c r="AP9" t="s">
        <v>90</v>
      </c>
      <c r="AQ9" t="s">
        <v>90</v>
      </c>
      <c r="AR9" t="s">
        <v>90</v>
      </c>
      <c r="AS9" t="s">
        <v>90</v>
      </c>
      <c r="AT9" t="s">
        <v>90</v>
      </c>
      <c r="AU9" t="s">
        <v>90</v>
      </c>
      <c r="AV9" t="s">
        <v>90</v>
      </c>
      <c r="AW9" t="s">
        <v>90</v>
      </c>
      <c r="AX9" t="s">
        <v>90</v>
      </c>
      <c r="AY9" t="s">
        <v>90</v>
      </c>
      <c r="AZ9" t="s">
        <v>90</v>
      </c>
      <c r="BA9" t="s">
        <v>90</v>
      </c>
      <c r="BB9" t="s">
        <v>90</v>
      </c>
      <c r="BC9" t="s">
        <v>90</v>
      </c>
      <c r="BD9" t="s">
        <v>90</v>
      </c>
      <c r="BE9" t="s">
        <v>90</v>
      </c>
      <c r="BF9" t="s">
        <v>90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90</v>
      </c>
      <c r="BM9" t="s">
        <v>90</v>
      </c>
      <c r="BN9" t="s">
        <v>90</v>
      </c>
      <c r="BO9" t="s">
        <v>92</v>
      </c>
      <c r="BP9" t="s">
        <v>90</v>
      </c>
      <c r="BQ9" t="s">
        <v>90</v>
      </c>
      <c r="BR9" t="s">
        <v>182</v>
      </c>
    </row>
    <row r="10" spans="1:75" x14ac:dyDescent="0.25">
      <c r="A10" t="s">
        <v>183</v>
      </c>
      <c r="B10" t="s">
        <v>184</v>
      </c>
      <c r="C10" t="s">
        <v>101</v>
      </c>
      <c r="D10" t="s">
        <v>185</v>
      </c>
      <c r="E10" t="s">
        <v>75</v>
      </c>
      <c r="F10" t="s">
        <v>186</v>
      </c>
      <c r="G10" t="s">
        <v>155</v>
      </c>
      <c r="H10" t="s">
        <v>156</v>
      </c>
      <c r="I10" t="s">
        <v>78</v>
      </c>
      <c r="J10" t="s">
        <v>79</v>
      </c>
      <c r="K10" t="s">
        <v>80</v>
      </c>
      <c r="L10" t="s">
        <v>187</v>
      </c>
      <c r="M10" t="s">
        <v>188</v>
      </c>
      <c r="N10" t="s">
        <v>83</v>
      </c>
      <c r="O10" t="s">
        <v>84</v>
      </c>
      <c r="P10" t="s">
        <v>159</v>
      </c>
      <c r="S10" t="s">
        <v>189</v>
      </c>
      <c r="T10">
        <v>1</v>
      </c>
      <c r="U10">
        <v>4</v>
      </c>
      <c r="V10" t="s">
        <v>110</v>
      </c>
      <c r="W10" t="s">
        <v>88</v>
      </c>
      <c r="X10" t="s">
        <v>89</v>
      </c>
      <c r="Y10" t="s">
        <v>90</v>
      </c>
      <c r="Z10" t="s">
        <v>190</v>
      </c>
      <c r="AA10" t="s">
        <v>92</v>
      </c>
      <c r="AB10" t="s">
        <v>191</v>
      </c>
      <c r="AC10" s="1">
        <v>1.69223E+18</v>
      </c>
      <c r="AD10" t="s">
        <v>90</v>
      </c>
      <c r="AE10" t="s">
        <v>90</v>
      </c>
      <c r="AF10" t="s">
        <v>94</v>
      </c>
      <c r="AG10" t="s">
        <v>90</v>
      </c>
      <c r="AH10" t="s">
        <v>192</v>
      </c>
      <c r="AI10" t="s">
        <v>96</v>
      </c>
      <c r="AJ10" t="s">
        <v>92</v>
      </c>
      <c r="AK10" t="s">
        <v>92</v>
      </c>
      <c r="AL10" t="s">
        <v>97</v>
      </c>
      <c r="AM10" t="s">
        <v>90</v>
      </c>
      <c r="AN10" t="s">
        <v>90</v>
      </c>
      <c r="AO10" t="s">
        <v>90</v>
      </c>
      <c r="AP10" t="s">
        <v>90</v>
      </c>
      <c r="AQ10" t="s">
        <v>90</v>
      </c>
      <c r="AR10" t="s">
        <v>90</v>
      </c>
      <c r="AS10" t="s">
        <v>90</v>
      </c>
      <c r="AT10" t="s">
        <v>90</v>
      </c>
      <c r="AU10" t="s">
        <v>90</v>
      </c>
      <c r="AV10" t="s">
        <v>90</v>
      </c>
      <c r="AW10" t="s">
        <v>90</v>
      </c>
      <c r="AX10" t="s">
        <v>90</v>
      </c>
      <c r="AY10" t="s">
        <v>90</v>
      </c>
      <c r="AZ10" t="s">
        <v>90</v>
      </c>
      <c r="BA10" t="s">
        <v>90</v>
      </c>
      <c r="BB10" t="s">
        <v>90</v>
      </c>
      <c r="BC10" t="s">
        <v>90</v>
      </c>
      <c r="BD10" t="s">
        <v>90</v>
      </c>
      <c r="BE10" t="s">
        <v>90</v>
      </c>
      <c r="BF10" t="s">
        <v>90</v>
      </c>
      <c r="BG10" t="s">
        <v>90</v>
      </c>
      <c r="BH10" t="s">
        <v>90</v>
      </c>
      <c r="BI10" t="s">
        <v>90</v>
      </c>
      <c r="BJ10" t="s">
        <v>90</v>
      </c>
      <c r="BK10" t="s">
        <v>90</v>
      </c>
      <c r="BL10" t="s">
        <v>90</v>
      </c>
      <c r="BM10" t="s">
        <v>90</v>
      </c>
      <c r="BN10" t="s">
        <v>90</v>
      </c>
      <c r="BO10" t="s">
        <v>92</v>
      </c>
      <c r="BP10" t="s">
        <v>90</v>
      </c>
      <c r="BQ10" t="s">
        <v>90</v>
      </c>
      <c r="BR10" t="s">
        <v>193</v>
      </c>
    </row>
    <row r="11" spans="1:75" ht="15" customHeight="1" x14ac:dyDescent="0.25">
      <c r="A11" s="3" t="s">
        <v>194</v>
      </c>
      <c r="B11" s="3" t="s">
        <v>195</v>
      </c>
      <c r="C11" s="3" t="s">
        <v>101</v>
      </c>
      <c r="D11" s="14" t="s">
        <v>196</v>
      </c>
      <c r="E11" s="3" t="s">
        <v>103</v>
      </c>
      <c r="F11" s="3" t="s">
        <v>197</v>
      </c>
      <c r="G11" s="3" t="s">
        <v>198</v>
      </c>
      <c r="H11" s="3" t="s">
        <v>199</v>
      </c>
      <c r="I11" t="s">
        <v>200</v>
      </c>
      <c r="J11" t="s">
        <v>79</v>
      </c>
      <c r="K11" t="s">
        <v>80</v>
      </c>
      <c r="L11" s="3" t="s">
        <v>201</v>
      </c>
      <c r="M11" s="3" t="s">
        <v>202</v>
      </c>
      <c r="N11" t="s">
        <v>83</v>
      </c>
      <c r="O11" s="3" t="s">
        <v>84</v>
      </c>
      <c r="P11" s="3" t="s">
        <v>85</v>
      </c>
      <c r="Q11" s="3"/>
      <c r="R11" s="3"/>
      <c r="S11" s="3" t="s">
        <v>189</v>
      </c>
      <c r="T11">
        <v>1</v>
      </c>
      <c r="U11">
        <v>4</v>
      </c>
      <c r="V11" t="s">
        <v>87</v>
      </c>
      <c r="W11" t="s">
        <v>88</v>
      </c>
      <c r="X11" t="s">
        <v>89</v>
      </c>
      <c r="Y11" t="s">
        <v>90</v>
      </c>
      <c r="Z11" t="s">
        <v>203</v>
      </c>
      <c r="AA11" t="s">
        <v>92</v>
      </c>
      <c r="AB11" t="s">
        <v>204</v>
      </c>
      <c r="AC11" s="1">
        <v>1.70199E+18</v>
      </c>
      <c r="AD11" t="s">
        <v>90</v>
      </c>
      <c r="AE11" t="s">
        <v>90</v>
      </c>
      <c r="AF11" t="s">
        <v>94</v>
      </c>
      <c r="AG11" t="s">
        <v>90</v>
      </c>
      <c r="AH11" t="s">
        <v>205</v>
      </c>
      <c r="AI11" t="s">
        <v>96</v>
      </c>
      <c r="AJ11" t="s">
        <v>92</v>
      </c>
      <c r="AK11" t="s">
        <v>92</v>
      </c>
      <c r="AL11" t="s">
        <v>97</v>
      </c>
      <c r="AM11" t="s">
        <v>90</v>
      </c>
      <c r="AN11" t="s">
        <v>90</v>
      </c>
      <c r="AO11" t="s">
        <v>90</v>
      </c>
      <c r="AP11" t="s">
        <v>90</v>
      </c>
      <c r="AQ11" t="s">
        <v>90</v>
      </c>
      <c r="AR11" t="s">
        <v>90</v>
      </c>
      <c r="AS11" t="s">
        <v>90</v>
      </c>
      <c r="AT11" t="s">
        <v>90</v>
      </c>
      <c r="AU11" t="s">
        <v>90</v>
      </c>
      <c r="AV11" t="s">
        <v>90</v>
      </c>
      <c r="AW11" t="s">
        <v>90</v>
      </c>
      <c r="AX11" t="s">
        <v>90</v>
      </c>
      <c r="AY11" t="s">
        <v>90</v>
      </c>
      <c r="AZ11" t="s">
        <v>90</v>
      </c>
      <c r="BA11" t="s">
        <v>90</v>
      </c>
      <c r="BB11" t="s">
        <v>90</v>
      </c>
      <c r="BC11" t="s">
        <v>90</v>
      </c>
      <c r="BD11" t="s">
        <v>90</v>
      </c>
      <c r="BE11" t="s">
        <v>90</v>
      </c>
      <c r="BF11" t="s">
        <v>90</v>
      </c>
      <c r="BG11" t="s">
        <v>90</v>
      </c>
      <c r="BH11" t="s">
        <v>90</v>
      </c>
      <c r="BI11" t="s">
        <v>90</v>
      </c>
      <c r="BJ11" t="s">
        <v>90</v>
      </c>
      <c r="BK11" t="s">
        <v>90</v>
      </c>
      <c r="BL11" t="s">
        <v>90</v>
      </c>
      <c r="BM11" t="s">
        <v>90</v>
      </c>
      <c r="BN11" t="s">
        <v>90</v>
      </c>
      <c r="BO11" t="s">
        <v>92</v>
      </c>
      <c r="BP11" t="s">
        <v>90</v>
      </c>
      <c r="BQ11" t="s">
        <v>90</v>
      </c>
      <c r="BR11" s="3" t="s">
        <v>206</v>
      </c>
    </row>
    <row r="12" spans="1:75" ht="15" customHeight="1" x14ac:dyDescent="0.25">
      <c r="A12" t="s">
        <v>207</v>
      </c>
      <c r="B12" t="s">
        <v>208</v>
      </c>
      <c r="C12" t="s">
        <v>101</v>
      </c>
      <c r="D12" s="10" t="s">
        <v>209</v>
      </c>
      <c r="E12" t="s">
        <v>75</v>
      </c>
      <c r="G12" t="s">
        <v>118</v>
      </c>
      <c r="H12" t="s">
        <v>119</v>
      </c>
      <c r="I12" t="s">
        <v>78</v>
      </c>
      <c r="J12" t="s">
        <v>79</v>
      </c>
      <c r="K12" t="s">
        <v>80</v>
      </c>
      <c r="L12" t="s">
        <v>210</v>
      </c>
      <c r="M12" t="s">
        <v>211</v>
      </c>
      <c r="N12" t="s">
        <v>212</v>
      </c>
      <c r="O12" t="s">
        <v>84</v>
      </c>
      <c r="P12" t="s">
        <v>109</v>
      </c>
      <c r="Q12" t="s">
        <v>122</v>
      </c>
      <c r="S12" t="s">
        <v>86</v>
      </c>
      <c r="T12">
        <v>1</v>
      </c>
      <c r="U12">
        <v>2</v>
      </c>
      <c r="V12" t="s">
        <v>87</v>
      </c>
      <c r="W12" t="s">
        <v>88</v>
      </c>
      <c r="X12" t="s">
        <v>89</v>
      </c>
      <c r="Y12" t="s">
        <v>90</v>
      </c>
      <c r="Z12" t="s">
        <v>213</v>
      </c>
      <c r="AA12" t="s">
        <v>92</v>
      </c>
      <c r="AB12" t="s">
        <v>214</v>
      </c>
      <c r="AC12" s="1">
        <v>1.70276E+18</v>
      </c>
      <c r="AD12" t="s">
        <v>90</v>
      </c>
      <c r="AE12" t="s">
        <v>90</v>
      </c>
      <c r="AF12" t="s">
        <v>94</v>
      </c>
      <c r="AG12" t="s">
        <v>90</v>
      </c>
      <c r="AH12" t="s">
        <v>215</v>
      </c>
      <c r="AI12" t="s">
        <v>96</v>
      </c>
      <c r="AJ12" t="s">
        <v>92</v>
      </c>
      <c r="AK12" t="s">
        <v>92</v>
      </c>
      <c r="AL12" t="s">
        <v>97</v>
      </c>
      <c r="AM12" t="s">
        <v>90</v>
      </c>
      <c r="AN12" t="s">
        <v>90</v>
      </c>
      <c r="AO12" t="s">
        <v>90</v>
      </c>
      <c r="AP12" t="s">
        <v>90</v>
      </c>
      <c r="AQ12" t="s">
        <v>90</v>
      </c>
      <c r="AR12" t="s">
        <v>90</v>
      </c>
      <c r="AS12" t="s">
        <v>90</v>
      </c>
      <c r="AT12" t="s">
        <v>90</v>
      </c>
      <c r="AU12" t="s">
        <v>90</v>
      </c>
      <c r="AV12" t="s">
        <v>90</v>
      </c>
      <c r="AW12" t="s">
        <v>90</v>
      </c>
      <c r="AX12" t="s">
        <v>90</v>
      </c>
      <c r="AY12" t="s">
        <v>90</v>
      </c>
      <c r="AZ12" t="s">
        <v>90</v>
      </c>
      <c r="BA12" t="s">
        <v>90</v>
      </c>
      <c r="BB12" t="s">
        <v>90</v>
      </c>
      <c r="BC12" t="s">
        <v>90</v>
      </c>
      <c r="BD12" t="s">
        <v>90</v>
      </c>
      <c r="BE12" t="s">
        <v>90</v>
      </c>
      <c r="BF12" t="s">
        <v>90</v>
      </c>
      <c r="BG12" t="s">
        <v>90</v>
      </c>
      <c r="BH12" t="s">
        <v>90</v>
      </c>
      <c r="BI12" t="s">
        <v>90</v>
      </c>
      <c r="BJ12" t="s">
        <v>90</v>
      </c>
      <c r="BK12" t="s">
        <v>90</v>
      </c>
      <c r="BL12" t="s">
        <v>90</v>
      </c>
      <c r="BM12" t="s">
        <v>90</v>
      </c>
      <c r="BN12" t="s">
        <v>90</v>
      </c>
      <c r="BO12" t="s">
        <v>92</v>
      </c>
      <c r="BP12" t="s">
        <v>90</v>
      </c>
      <c r="BQ12" t="s">
        <v>90</v>
      </c>
      <c r="BR12" t="s">
        <v>216</v>
      </c>
    </row>
    <row r="13" spans="1:75" x14ac:dyDescent="0.25">
      <c r="A13" t="s">
        <v>217</v>
      </c>
      <c r="B13" t="s">
        <v>218</v>
      </c>
      <c r="C13" t="s">
        <v>101</v>
      </c>
      <c r="D13" t="s">
        <v>219</v>
      </c>
      <c r="E13" t="s">
        <v>75</v>
      </c>
      <c r="F13" t="s">
        <v>186</v>
      </c>
      <c r="G13" t="s">
        <v>155</v>
      </c>
      <c r="H13" t="s">
        <v>156</v>
      </c>
      <c r="I13" t="s">
        <v>78</v>
      </c>
      <c r="J13" t="s">
        <v>79</v>
      </c>
      <c r="K13" t="s">
        <v>80</v>
      </c>
      <c r="L13" t="s">
        <v>220</v>
      </c>
      <c r="M13" t="s">
        <v>221</v>
      </c>
      <c r="N13" t="s">
        <v>83</v>
      </c>
      <c r="O13" t="s">
        <v>84</v>
      </c>
      <c r="P13" t="s">
        <v>159</v>
      </c>
      <c r="S13" t="s">
        <v>189</v>
      </c>
      <c r="T13">
        <v>1</v>
      </c>
      <c r="U13">
        <v>4</v>
      </c>
      <c r="V13" t="s">
        <v>110</v>
      </c>
      <c r="W13" t="s">
        <v>88</v>
      </c>
      <c r="X13" t="s">
        <v>89</v>
      </c>
      <c r="Y13" t="s">
        <v>90</v>
      </c>
      <c r="Z13" t="s">
        <v>222</v>
      </c>
      <c r="AA13" t="s">
        <v>92</v>
      </c>
      <c r="AB13" t="s">
        <v>223</v>
      </c>
      <c r="AC13" s="1">
        <v>1.69726E+18</v>
      </c>
      <c r="AD13" t="s">
        <v>90</v>
      </c>
      <c r="AE13" t="s">
        <v>90</v>
      </c>
      <c r="AF13" t="s">
        <v>94</v>
      </c>
      <c r="AG13" t="s">
        <v>90</v>
      </c>
      <c r="AH13" t="s">
        <v>224</v>
      </c>
      <c r="AI13" t="s">
        <v>96</v>
      </c>
      <c r="AJ13" t="s">
        <v>92</v>
      </c>
      <c r="AK13" t="s">
        <v>92</v>
      </c>
      <c r="AL13" t="s">
        <v>97</v>
      </c>
      <c r="AM13" t="s">
        <v>90</v>
      </c>
      <c r="AN13" t="s">
        <v>90</v>
      </c>
      <c r="AO13" t="s">
        <v>90</v>
      </c>
      <c r="AP13" t="s">
        <v>90</v>
      </c>
      <c r="AQ13" t="s">
        <v>90</v>
      </c>
      <c r="AR13" t="s">
        <v>90</v>
      </c>
      <c r="AS13" t="s">
        <v>90</v>
      </c>
      <c r="AT13" t="s">
        <v>90</v>
      </c>
      <c r="AU13" t="s">
        <v>90</v>
      </c>
      <c r="AV13" t="s">
        <v>90</v>
      </c>
      <c r="AW13" t="s">
        <v>90</v>
      </c>
      <c r="AX13" t="s">
        <v>90</v>
      </c>
      <c r="AY13" t="s">
        <v>90</v>
      </c>
      <c r="AZ13" t="s">
        <v>90</v>
      </c>
      <c r="BA13" t="s">
        <v>90</v>
      </c>
      <c r="BB13" t="s">
        <v>90</v>
      </c>
      <c r="BC13" t="s">
        <v>90</v>
      </c>
      <c r="BD13" t="s">
        <v>90</v>
      </c>
      <c r="BE13" t="s">
        <v>90</v>
      </c>
      <c r="BF13" t="s">
        <v>90</v>
      </c>
      <c r="BG13" t="s">
        <v>90</v>
      </c>
      <c r="BH13" t="s">
        <v>90</v>
      </c>
      <c r="BI13" t="s">
        <v>90</v>
      </c>
      <c r="BJ13" t="s">
        <v>90</v>
      </c>
      <c r="BK13" t="s">
        <v>90</v>
      </c>
      <c r="BL13" t="s">
        <v>90</v>
      </c>
      <c r="BM13" t="s">
        <v>90</v>
      </c>
      <c r="BN13" t="s">
        <v>90</v>
      </c>
      <c r="BO13" t="s">
        <v>92</v>
      </c>
      <c r="BP13" t="s">
        <v>90</v>
      </c>
      <c r="BQ13" t="s">
        <v>90</v>
      </c>
      <c r="BR13" t="s">
        <v>193</v>
      </c>
    </row>
    <row r="14" spans="1:75" ht="15" customHeight="1" x14ac:dyDescent="0.25">
      <c r="A14" t="s">
        <v>225</v>
      </c>
      <c r="B14" t="s">
        <v>226</v>
      </c>
      <c r="C14" t="s">
        <v>73</v>
      </c>
      <c r="D14" s="14" t="s">
        <v>227</v>
      </c>
      <c r="E14" t="s">
        <v>75</v>
      </c>
      <c r="G14" t="s">
        <v>118</v>
      </c>
      <c r="H14" t="s">
        <v>119</v>
      </c>
      <c r="I14" t="s">
        <v>78</v>
      </c>
      <c r="J14" t="s">
        <v>79</v>
      </c>
      <c r="K14" t="s">
        <v>80</v>
      </c>
      <c r="L14" t="s">
        <v>228</v>
      </c>
      <c r="M14" t="s">
        <v>229</v>
      </c>
      <c r="N14" t="s">
        <v>212</v>
      </c>
      <c r="O14" t="s">
        <v>84</v>
      </c>
      <c r="P14" t="s">
        <v>109</v>
      </c>
      <c r="S14" t="s">
        <v>147</v>
      </c>
      <c r="T14">
        <v>1</v>
      </c>
      <c r="U14">
        <v>2</v>
      </c>
      <c r="V14" t="s">
        <v>110</v>
      </c>
      <c r="W14" t="s">
        <v>88</v>
      </c>
      <c r="X14" t="s">
        <v>89</v>
      </c>
      <c r="Y14" t="s">
        <v>90</v>
      </c>
      <c r="Z14" t="s">
        <v>230</v>
      </c>
      <c r="AA14" t="s">
        <v>92</v>
      </c>
      <c r="AB14" t="s">
        <v>231</v>
      </c>
      <c r="AC14" s="1">
        <v>1.70276E+18</v>
      </c>
      <c r="AD14" t="s">
        <v>90</v>
      </c>
      <c r="AE14" t="s">
        <v>90</v>
      </c>
      <c r="AF14" t="s">
        <v>94</v>
      </c>
      <c r="AG14" t="s">
        <v>90</v>
      </c>
      <c r="AH14" t="s">
        <v>232</v>
      </c>
      <c r="AI14" t="s">
        <v>96</v>
      </c>
      <c r="AJ14" t="s">
        <v>92</v>
      </c>
      <c r="AK14" t="s">
        <v>92</v>
      </c>
      <c r="AL14" t="s">
        <v>97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92</v>
      </c>
      <c r="BP14" t="s">
        <v>90</v>
      </c>
      <c r="BQ14" t="s">
        <v>90</v>
      </c>
      <c r="BR14" t="s">
        <v>233</v>
      </c>
    </row>
    <row r="15" spans="1:75" ht="15" customHeight="1" x14ac:dyDescent="0.25">
      <c r="A15" t="s">
        <v>234</v>
      </c>
      <c r="B15" t="s">
        <v>235</v>
      </c>
      <c r="C15" t="s">
        <v>101</v>
      </c>
      <c r="D15" t="s">
        <v>236</v>
      </c>
      <c r="E15" t="s">
        <v>75</v>
      </c>
      <c r="F15" t="s">
        <v>237</v>
      </c>
      <c r="G15" t="s">
        <v>155</v>
      </c>
      <c r="H15" t="s">
        <v>238</v>
      </c>
      <c r="I15" t="s">
        <v>78</v>
      </c>
      <c r="J15" t="s">
        <v>79</v>
      </c>
      <c r="K15" t="s">
        <v>80</v>
      </c>
      <c r="L15" t="s">
        <v>239</v>
      </c>
      <c r="M15" t="s">
        <v>240</v>
      </c>
      <c r="N15" t="s">
        <v>83</v>
      </c>
      <c r="O15" t="s">
        <v>84</v>
      </c>
      <c r="P15" t="s">
        <v>159</v>
      </c>
      <c r="S15" t="s">
        <v>86</v>
      </c>
      <c r="T15">
        <v>1</v>
      </c>
      <c r="U15">
        <v>4</v>
      </c>
      <c r="V15" t="s">
        <v>110</v>
      </c>
      <c r="W15" t="s">
        <v>88</v>
      </c>
      <c r="X15" t="s">
        <v>89</v>
      </c>
      <c r="Y15" t="s">
        <v>90</v>
      </c>
      <c r="Z15" t="s">
        <v>241</v>
      </c>
      <c r="AA15" t="s">
        <v>92</v>
      </c>
      <c r="AB15" t="s">
        <v>242</v>
      </c>
      <c r="AC15" s="1">
        <v>1.70085E+18</v>
      </c>
      <c r="AD15" t="s">
        <v>90</v>
      </c>
      <c r="AE15" t="s">
        <v>90</v>
      </c>
      <c r="AF15" t="s">
        <v>94</v>
      </c>
      <c r="AG15" t="s">
        <v>90</v>
      </c>
      <c r="AH15" t="s">
        <v>243</v>
      </c>
      <c r="AI15" t="s">
        <v>96</v>
      </c>
      <c r="AJ15" t="s">
        <v>92</v>
      </c>
      <c r="AK15" t="s">
        <v>92</v>
      </c>
      <c r="AL15" t="s">
        <v>97</v>
      </c>
      <c r="AM15" t="s">
        <v>90</v>
      </c>
      <c r="AN15" t="s">
        <v>90</v>
      </c>
      <c r="AO15" t="s">
        <v>90</v>
      </c>
      <c r="AP15" t="s">
        <v>90</v>
      </c>
      <c r="AQ15" t="s">
        <v>90</v>
      </c>
      <c r="AR15" t="s">
        <v>90</v>
      </c>
      <c r="AS15" t="s">
        <v>90</v>
      </c>
      <c r="AT15" t="s">
        <v>90</v>
      </c>
      <c r="AU15" t="s">
        <v>90</v>
      </c>
      <c r="AV15" t="s">
        <v>90</v>
      </c>
      <c r="AW15" t="s">
        <v>90</v>
      </c>
      <c r="AX15" t="s">
        <v>90</v>
      </c>
      <c r="AY15" t="s">
        <v>90</v>
      </c>
      <c r="AZ15" t="s">
        <v>90</v>
      </c>
      <c r="BA15" t="s">
        <v>90</v>
      </c>
      <c r="BB15" t="s">
        <v>90</v>
      </c>
      <c r="BC15" t="s">
        <v>90</v>
      </c>
      <c r="BD15" t="s">
        <v>90</v>
      </c>
      <c r="BE15" t="s">
        <v>90</v>
      </c>
      <c r="BF15" t="s">
        <v>90</v>
      </c>
      <c r="BG15" t="s">
        <v>90</v>
      </c>
      <c r="BH15" t="s">
        <v>90</v>
      </c>
      <c r="BI15" t="s">
        <v>90</v>
      </c>
      <c r="BJ15" t="s">
        <v>90</v>
      </c>
      <c r="BK15" t="s">
        <v>90</v>
      </c>
      <c r="BL15" t="s">
        <v>90</v>
      </c>
      <c r="BM15" t="s">
        <v>90</v>
      </c>
      <c r="BN15" t="s">
        <v>90</v>
      </c>
      <c r="BO15" t="s">
        <v>92</v>
      </c>
      <c r="BP15" t="s">
        <v>90</v>
      </c>
      <c r="BQ15" t="s">
        <v>90</v>
      </c>
      <c r="BR15" t="s">
        <v>98</v>
      </c>
    </row>
    <row r="16" spans="1:75" ht="15" customHeight="1" x14ac:dyDescent="0.25">
      <c r="A16" t="s">
        <v>244</v>
      </c>
      <c r="B16" t="s">
        <v>245</v>
      </c>
      <c r="C16" t="s">
        <v>101</v>
      </c>
      <c r="D16" s="10" t="s">
        <v>246</v>
      </c>
      <c r="E16" t="s">
        <v>75</v>
      </c>
      <c r="G16" t="s">
        <v>118</v>
      </c>
      <c r="H16" t="s">
        <v>247</v>
      </c>
      <c r="I16" t="s">
        <v>78</v>
      </c>
      <c r="J16" t="s">
        <v>79</v>
      </c>
      <c r="K16" t="s">
        <v>80</v>
      </c>
      <c r="L16" t="s">
        <v>248</v>
      </c>
      <c r="M16" t="s">
        <v>249</v>
      </c>
      <c r="N16" t="s">
        <v>83</v>
      </c>
      <c r="O16" t="s">
        <v>84</v>
      </c>
      <c r="P16" t="s">
        <v>109</v>
      </c>
      <c r="Q16" t="s">
        <v>122</v>
      </c>
      <c r="R16" t="s">
        <v>250</v>
      </c>
      <c r="S16" t="s">
        <v>189</v>
      </c>
      <c r="T16">
        <v>1</v>
      </c>
      <c r="U16">
        <v>2</v>
      </c>
      <c r="V16" t="s">
        <v>87</v>
      </c>
      <c r="W16" t="s">
        <v>88</v>
      </c>
      <c r="X16" t="s">
        <v>89</v>
      </c>
      <c r="Y16" t="s">
        <v>90</v>
      </c>
      <c r="Z16" t="s">
        <v>251</v>
      </c>
      <c r="AA16" t="s">
        <v>92</v>
      </c>
      <c r="AB16" t="s">
        <v>252</v>
      </c>
      <c r="AC16" s="1">
        <v>1.70276E+18</v>
      </c>
      <c r="AD16" t="s">
        <v>90</v>
      </c>
      <c r="AE16" t="s">
        <v>90</v>
      </c>
      <c r="AF16" t="s">
        <v>94</v>
      </c>
      <c r="AG16" t="s">
        <v>90</v>
      </c>
      <c r="AH16" t="s">
        <v>253</v>
      </c>
      <c r="AI16" t="s">
        <v>96</v>
      </c>
      <c r="AJ16" t="s">
        <v>92</v>
      </c>
      <c r="AK16" t="s">
        <v>92</v>
      </c>
      <c r="AL16" t="s">
        <v>97</v>
      </c>
      <c r="AM16" t="s">
        <v>90</v>
      </c>
      <c r="AN16" t="s">
        <v>90</v>
      </c>
      <c r="AO16" t="s">
        <v>90</v>
      </c>
      <c r="AP16" t="s">
        <v>90</v>
      </c>
      <c r="AQ16" t="s">
        <v>90</v>
      </c>
      <c r="AR16" t="s">
        <v>90</v>
      </c>
      <c r="AS16" t="s">
        <v>90</v>
      </c>
      <c r="AT16" t="s">
        <v>90</v>
      </c>
      <c r="AU16" t="s">
        <v>90</v>
      </c>
      <c r="AV16" t="s">
        <v>90</v>
      </c>
      <c r="AW16" t="s">
        <v>90</v>
      </c>
      <c r="AX16" t="s">
        <v>90</v>
      </c>
      <c r="AY16" t="s">
        <v>90</v>
      </c>
      <c r="AZ16" t="s">
        <v>90</v>
      </c>
      <c r="BA16" t="s">
        <v>90</v>
      </c>
      <c r="BB16" t="s">
        <v>90</v>
      </c>
      <c r="BC16" t="s">
        <v>90</v>
      </c>
      <c r="BD16" t="s">
        <v>90</v>
      </c>
      <c r="BE16" t="s">
        <v>90</v>
      </c>
      <c r="BF16" t="s">
        <v>90</v>
      </c>
      <c r="BG16" t="s">
        <v>90</v>
      </c>
      <c r="BH16" t="s">
        <v>90</v>
      </c>
      <c r="BI16" t="s">
        <v>90</v>
      </c>
      <c r="BJ16" t="s">
        <v>90</v>
      </c>
      <c r="BK16" t="s">
        <v>90</v>
      </c>
      <c r="BL16" t="s">
        <v>90</v>
      </c>
      <c r="BM16" t="s">
        <v>90</v>
      </c>
      <c r="BN16" t="s">
        <v>90</v>
      </c>
      <c r="BO16" t="s">
        <v>92</v>
      </c>
      <c r="BP16" t="s">
        <v>90</v>
      </c>
      <c r="BQ16" t="s">
        <v>90</v>
      </c>
      <c r="BR16" t="s">
        <v>193</v>
      </c>
    </row>
    <row r="17" spans="1:72" x14ac:dyDescent="0.25">
      <c r="A17" t="s">
        <v>254</v>
      </c>
      <c r="B17" t="s">
        <v>255</v>
      </c>
      <c r="C17" t="s">
        <v>101</v>
      </c>
      <c r="D17" s="10" t="s">
        <v>175</v>
      </c>
      <c r="E17" t="s">
        <v>75</v>
      </c>
      <c r="G17" t="s">
        <v>118</v>
      </c>
      <c r="H17" t="s">
        <v>247</v>
      </c>
      <c r="I17" t="s">
        <v>78</v>
      </c>
      <c r="J17" t="s">
        <v>79</v>
      </c>
      <c r="K17" t="s">
        <v>80</v>
      </c>
      <c r="L17" t="s">
        <v>256</v>
      </c>
      <c r="M17" t="s">
        <v>257</v>
      </c>
      <c r="N17" t="s">
        <v>212</v>
      </c>
      <c r="O17" t="s">
        <v>84</v>
      </c>
      <c r="P17" t="s">
        <v>109</v>
      </c>
      <c r="Q17" t="s">
        <v>122</v>
      </c>
      <c r="S17" t="s">
        <v>86</v>
      </c>
      <c r="T17">
        <v>1</v>
      </c>
      <c r="U17">
        <v>2</v>
      </c>
      <c r="V17" t="s">
        <v>87</v>
      </c>
      <c r="W17" t="s">
        <v>88</v>
      </c>
      <c r="X17" t="s">
        <v>89</v>
      </c>
      <c r="Y17" t="s">
        <v>90</v>
      </c>
      <c r="Z17" t="s">
        <v>258</v>
      </c>
      <c r="AA17" t="s">
        <v>92</v>
      </c>
      <c r="AB17" t="s">
        <v>259</v>
      </c>
      <c r="AC17" s="1">
        <v>1.70276E+18</v>
      </c>
      <c r="AD17" t="s">
        <v>90</v>
      </c>
      <c r="AE17" t="s">
        <v>90</v>
      </c>
      <c r="AF17" t="s">
        <v>94</v>
      </c>
      <c r="AG17" t="s">
        <v>90</v>
      </c>
      <c r="AH17" t="s">
        <v>260</v>
      </c>
      <c r="AI17" t="s">
        <v>96</v>
      </c>
      <c r="AJ17" t="s">
        <v>92</v>
      </c>
      <c r="AK17" t="s">
        <v>92</v>
      </c>
      <c r="AL17" t="s">
        <v>97</v>
      </c>
      <c r="AM17" t="s">
        <v>90</v>
      </c>
      <c r="AN17" t="s">
        <v>90</v>
      </c>
      <c r="AO17" t="s">
        <v>90</v>
      </c>
      <c r="AP17" t="s">
        <v>90</v>
      </c>
      <c r="AQ17" t="s">
        <v>90</v>
      </c>
      <c r="AR17" t="s">
        <v>90</v>
      </c>
      <c r="AS17" t="s">
        <v>90</v>
      </c>
      <c r="AT17" t="s">
        <v>90</v>
      </c>
      <c r="AU17" t="s">
        <v>90</v>
      </c>
      <c r="AV17" t="s">
        <v>90</v>
      </c>
      <c r="AW17" t="s">
        <v>90</v>
      </c>
      <c r="AX17" t="s">
        <v>90</v>
      </c>
      <c r="AY17" t="s">
        <v>90</v>
      </c>
      <c r="AZ17" t="s">
        <v>90</v>
      </c>
      <c r="BA17" t="s">
        <v>90</v>
      </c>
      <c r="BB17" t="s">
        <v>90</v>
      </c>
      <c r="BC17" t="s">
        <v>90</v>
      </c>
      <c r="BD17" t="s">
        <v>90</v>
      </c>
      <c r="BE17" t="s">
        <v>90</v>
      </c>
      <c r="BF17" t="s">
        <v>90</v>
      </c>
      <c r="BG17" t="s">
        <v>90</v>
      </c>
      <c r="BH17" t="s">
        <v>90</v>
      </c>
      <c r="BI17" t="s">
        <v>90</v>
      </c>
      <c r="BJ17" t="s">
        <v>90</v>
      </c>
      <c r="BK17" t="s">
        <v>90</v>
      </c>
      <c r="BL17" t="s">
        <v>90</v>
      </c>
      <c r="BM17" t="s">
        <v>90</v>
      </c>
      <c r="BN17" t="s">
        <v>90</v>
      </c>
      <c r="BO17" t="s">
        <v>92</v>
      </c>
      <c r="BP17" t="s">
        <v>90</v>
      </c>
      <c r="BQ17" t="s">
        <v>90</v>
      </c>
      <c r="BR17" t="s">
        <v>182</v>
      </c>
    </row>
    <row r="18" spans="1:72" x14ac:dyDescent="0.25">
      <c r="A18" t="s">
        <v>261</v>
      </c>
      <c r="B18" t="s">
        <v>262</v>
      </c>
      <c r="C18" t="s">
        <v>101</v>
      </c>
      <c r="D18" s="10" t="s">
        <v>263</v>
      </c>
      <c r="E18" t="s">
        <v>75</v>
      </c>
      <c r="G18" t="s">
        <v>118</v>
      </c>
      <c r="H18" t="s">
        <v>247</v>
      </c>
      <c r="I18" t="s">
        <v>78</v>
      </c>
      <c r="J18" t="s">
        <v>79</v>
      </c>
      <c r="K18" t="s">
        <v>80</v>
      </c>
      <c r="L18" t="s">
        <v>264</v>
      </c>
      <c r="M18" t="s">
        <v>265</v>
      </c>
      <c r="N18" t="s">
        <v>83</v>
      </c>
      <c r="O18" t="s">
        <v>84</v>
      </c>
      <c r="P18" t="s">
        <v>109</v>
      </c>
      <c r="Q18" t="s">
        <v>122</v>
      </c>
      <c r="S18" t="s">
        <v>123</v>
      </c>
      <c r="T18">
        <v>1</v>
      </c>
      <c r="U18">
        <v>2</v>
      </c>
      <c r="V18" t="s">
        <v>110</v>
      </c>
      <c r="W18" t="s">
        <v>88</v>
      </c>
      <c r="X18" t="s">
        <v>89</v>
      </c>
      <c r="Y18" t="s">
        <v>90</v>
      </c>
      <c r="Z18" t="s">
        <v>266</v>
      </c>
      <c r="AA18" t="s">
        <v>92</v>
      </c>
      <c r="AB18" t="s">
        <v>267</v>
      </c>
      <c r="AC18" s="1">
        <v>1.70277E+18</v>
      </c>
      <c r="AD18" t="s">
        <v>90</v>
      </c>
      <c r="AE18" t="s">
        <v>90</v>
      </c>
      <c r="AF18" t="s">
        <v>94</v>
      </c>
      <c r="AG18" t="s">
        <v>90</v>
      </c>
      <c r="AH18" t="s">
        <v>268</v>
      </c>
      <c r="AI18" t="s">
        <v>96</v>
      </c>
      <c r="AJ18" t="s">
        <v>92</v>
      </c>
      <c r="AK18" t="s">
        <v>92</v>
      </c>
      <c r="AL18" t="s">
        <v>97</v>
      </c>
      <c r="AM18" t="s">
        <v>90</v>
      </c>
      <c r="AN18" t="s">
        <v>90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90</v>
      </c>
      <c r="AU18" t="s">
        <v>90</v>
      </c>
      <c r="AV18" t="s">
        <v>90</v>
      </c>
      <c r="AW18" t="s">
        <v>90</v>
      </c>
      <c r="AX18" t="s">
        <v>90</v>
      </c>
      <c r="AY18" t="s">
        <v>90</v>
      </c>
      <c r="AZ18" t="s">
        <v>90</v>
      </c>
      <c r="BA18" t="s">
        <v>90</v>
      </c>
      <c r="BB18" t="s">
        <v>90</v>
      </c>
      <c r="BC18" t="s">
        <v>90</v>
      </c>
      <c r="BD18" t="s">
        <v>90</v>
      </c>
      <c r="BE18" t="s">
        <v>90</v>
      </c>
      <c r="BF18" t="s">
        <v>90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  <c r="BL18" t="s">
        <v>90</v>
      </c>
      <c r="BM18" t="s">
        <v>90</v>
      </c>
      <c r="BN18" t="s">
        <v>90</v>
      </c>
      <c r="BO18" t="s">
        <v>92</v>
      </c>
      <c r="BP18" t="s">
        <v>90</v>
      </c>
      <c r="BQ18" t="s">
        <v>90</v>
      </c>
      <c r="BR18" t="s">
        <v>233</v>
      </c>
    </row>
    <row r="19" spans="1:72" x14ac:dyDescent="0.25">
      <c r="A19" t="s">
        <v>269</v>
      </c>
      <c r="B19" t="s">
        <v>270</v>
      </c>
      <c r="C19" t="s">
        <v>101</v>
      </c>
      <c r="D19" s="10" t="s">
        <v>263</v>
      </c>
      <c r="E19" t="s">
        <v>75</v>
      </c>
      <c r="G19" t="s">
        <v>118</v>
      </c>
      <c r="H19" t="s">
        <v>247</v>
      </c>
      <c r="I19" t="s">
        <v>78</v>
      </c>
      <c r="J19" t="s">
        <v>79</v>
      </c>
      <c r="K19" t="s">
        <v>80</v>
      </c>
      <c r="L19" t="s">
        <v>271</v>
      </c>
      <c r="M19" t="s">
        <v>272</v>
      </c>
      <c r="N19" t="s">
        <v>212</v>
      </c>
      <c r="O19" t="s">
        <v>84</v>
      </c>
      <c r="P19" t="s">
        <v>109</v>
      </c>
      <c r="Q19" t="s">
        <v>122</v>
      </c>
      <c r="S19" t="s">
        <v>123</v>
      </c>
      <c r="T19">
        <v>1</v>
      </c>
      <c r="U19">
        <v>2</v>
      </c>
      <c r="V19" t="s">
        <v>110</v>
      </c>
      <c r="W19" t="s">
        <v>88</v>
      </c>
      <c r="X19" t="s">
        <v>89</v>
      </c>
      <c r="Y19" t="s">
        <v>90</v>
      </c>
      <c r="Z19" t="s">
        <v>273</v>
      </c>
      <c r="AA19" t="s">
        <v>92</v>
      </c>
      <c r="AB19" t="s">
        <v>274</v>
      </c>
      <c r="AC19" s="1">
        <v>1.70277E+18</v>
      </c>
      <c r="AD19" t="s">
        <v>90</v>
      </c>
      <c r="AE19" t="s">
        <v>90</v>
      </c>
      <c r="AF19" t="s">
        <v>94</v>
      </c>
      <c r="AG19" t="s">
        <v>90</v>
      </c>
      <c r="AH19" t="s">
        <v>275</v>
      </c>
      <c r="AI19" t="s">
        <v>96</v>
      </c>
      <c r="AJ19" t="s">
        <v>92</v>
      </c>
      <c r="AK19" t="s">
        <v>92</v>
      </c>
      <c r="AL19" t="s">
        <v>97</v>
      </c>
      <c r="AM19" t="s">
        <v>90</v>
      </c>
      <c r="AN19" t="s">
        <v>90</v>
      </c>
      <c r="AO19" t="s">
        <v>90</v>
      </c>
      <c r="AP19" t="s">
        <v>90</v>
      </c>
      <c r="AQ19" t="s">
        <v>90</v>
      </c>
      <c r="AR19" t="s">
        <v>90</v>
      </c>
      <c r="AS19" t="s">
        <v>90</v>
      </c>
      <c r="AT19" t="s">
        <v>90</v>
      </c>
      <c r="AU19" t="s">
        <v>90</v>
      </c>
      <c r="AV19" t="s">
        <v>90</v>
      </c>
      <c r="AW19" t="s">
        <v>90</v>
      </c>
      <c r="AX19" t="s">
        <v>90</v>
      </c>
      <c r="AY19" t="s">
        <v>90</v>
      </c>
      <c r="AZ19" t="s">
        <v>90</v>
      </c>
      <c r="BA19" t="s">
        <v>90</v>
      </c>
      <c r="BB19" t="s">
        <v>90</v>
      </c>
      <c r="BC19" t="s">
        <v>90</v>
      </c>
      <c r="BD19" t="s">
        <v>90</v>
      </c>
      <c r="BE19" t="s">
        <v>90</v>
      </c>
      <c r="BF19" t="s">
        <v>90</v>
      </c>
      <c r="BG19" t="s">
        <v>90</v>
      </c>
      <c r="BH19" t="s">
        <v>90</v>
      </c>
      <c r="BI19" t="s">
        <v>90</v>
      </c>
      <c r="BJ19" t="s">
        <v>90</v>
      </c>
      <c r="BK19" t="s">
        <v>90</v>
      </c>
      <c r="BL19" t="s">
        <v>90</v>
      </c>
      <c r="BM19" t="s">
        <v>90</v>
      </c>
      <c r="BN19" t="s">
        <v>90</v>
      </c>
      <c r="BO19" t="s">
        <v>92</v>
      </c>
      <c r="BP19" t="s">
        <v>90</v>
      </c>
      <c r="BQ19" t="s">
        <v>90</v>
      </c>
      <c r="BR19" t="s">
        <v>276</v>
      </c>
    </row>
    <row r="20" spans="1:72" x14ac:dyDescent="0.25">
      <c r="A20" s="4" t="s">
        <v>277</v>
      </c>
      <c r="B20" s="4" t="s">
        <v>278</v>
      </c>
      <c r="C20" s="4" t="s">
        <v>73</v>
      </c>
      <c r="D20" s="11" t="s">
        <v>279</v>
      </c>
      <c r="E20" s="4" t="s">
        <v>103</v>
      </c>
      <c r="F20" s="4"/>
      <c r="G20" s="4" t="s">
        <v>280</v>
      </c>
      <c r="H20" s="4" t="s">
        <v>281</v>
      </c>
      <c r="I20" t="s">
        <v>200</v>
      </c>
      <c r="J20" t="s">
        <v>79</v>
      </c>
      <c r="K20" t="s">
        <v>80</v>
      </c>
      <c r="L20" s="4" t="s">
        <v>282</v>
      </c>
      <c r="M20" s="4" t="s">
        <v>283</v>
      </c>
      <c r="N20" t="s">
        <v>83</v>
      </c>
      <c r="O20" s="4" t="s">
        <v>84</v>
      </c>
      <c r="P20" s="4" t="s">
        <v>85</v>
      </c>
      <c r="Q20" s="4"/>
      <c r="R20" s="4"/>
      <c r="T20">
        <v>1</v>
      </c>
      <c r="U20">
        <v>2</v>
      </c>
      <c r="V20" t="s">
        <v>110</v>
      </c>
      <c r="W20" t="s">
        <v>88</v>
      </c>
      <c r="X20" t="s">
        <v>89</v>
      </c>
      <c r="Y20" t="s">
        <v>284</v>
      </c>
      <c r="Z20" t="s">
        <v>285</v>
      </c>
      <c r="AA20" t="s">
        <v>92</v>
      </c>
      <c r="AB20" s="1" t="s">
        <v>286</v>
      </c>
      <c r="AC20" s="1">
        <v>1.70563E+18</v>
      </c>
      <c r="AD20" t="s">
        <v>90</v>
      </c>
      <c r="AE20" t="s">
        <v>90</v>
      </c>
      <c r="AF20" t="s">
        <v>94</v>
      </c>
      <c r="AG20" t="s">
        <v>90</v>
      </c>
      <c r="AH20" t="s">
        <v>287</v>
      </c>
      <c r="AI20" t="s">
        <v>96</v>
      </c>
      <c r="AJ20" t="s">
        <v>92</v>
      </c>
      <c r="AK20" t="s">
        <v>92</v>
      </c>
      <c r="AL20" t="s">
        <v>97</v>
      </c>
      <c r="AM20" t="s">
        <v>90</v>
      </c>
      <c r="AN20" t="s">
        <v>90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90</v>
      </c>
      <c r="AU20" t="s">
        <v>90</v>
      </c>
      <c r="AV20" t="s">
        <v>90</v>
      </c>
      <c r="AW20" t="s">
        <v>90</v>
      </c>
      <c r="AX20" t="s">
        <v>90</v>
      </c>
      <c r="AY20" t="s">
        <v>90</v>
      </c>
      <c r="AZ20" t="s">
        <v>90</v>
      </c>
      <c r="BA20" t="s">
        <v>90</v>
      </c>
      <c r="BB20" t="s">
        <v>90</v>
      </c>
      <c r="BC20" t="s">
        <v>90</v>
      </c>
      <c r="BD20" t="s">
        <v>90</v>
      </c>
      <c r="BE20" t="s">
        <v>90</v>
      </c>
      <c r="BF20" t="s">
        <v>90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90</v>
      </c>
      <c r="BM20" t="s">
        <v>90</v>
      </c>
      <c r="BN20" t="s">
        <v>90</v>
      </c>
      <c r="BO20" t="s">
        <v>92</v>
      </c>
      <c r="BP20" t="s">
        <v>90</v>
      </c>
      <c r="BQ20" t="s">
        <v>90</v>
      </c>
      <c r="BR20" s="4"/>
      <c r="BS20" t="s">
        <v>288</v>
      </c>
    </row>
    <row r="21" spans="1:72" ht="15" customHeight="1" x14ac:dyDescent="0.25">
      <c r="A21" t="s">
        <v>289</v>
      </c>
      <c r="C21" t="s">
        <v>101</v>
      </c>
      <c r="D21" s="10" t="s">
        <v>175</v>
      </c>
      <c r="E21" t="s">
        <v>75</v>
      </c>
      <c r="L21" t="s">
        <v>290</v>
      </c>
      <c r="O21" t="s">
        <v>84</v>
      </c>
      <c r="P21" t="s">
        <v>109</v>
      </c>
      <c r="Q21" t="s">
        <v>122</v>
      </c>
      <c r="S21" t="s">
        <v>86</v>
      </c>
      <c r="BR21" t="s">
        <v>182</v>
      </c>
    </row>
    <row r="22" spans="1:72" ht="15" customHeight="1" x14ac:dyDescent="0.25">
      <c r="A22" s="4" t="s">
        <v>291</v>
      </c>
      <c r="B22" s="4" t="s">
        <v>292</v>
      </c>
      <c r="C22" s="4" t="s">
        <v>73</v>
      </c>
      <c r="D22" s="11" t="s">
        <v>293</v>
      </c>
      <c r="E22" s="4" t="s">
        <v>103</v>
      </c>
      <c r="F22" s="4"/>
      <c r="G22" s="4" t="s">
        <v>280</v>
      </c>
      <c r="H22" s="4" t="s">
        <v>281</v>
      </c>
      <c r="I22" t="s">
        <v>200</v>
      </c>
      <c r="J22" t="s">
        <v>79</v>
      </c>
      <c r="K22" t="s">
        <v>80</v>
      </c>
      <c r="L22" s="4" t="s">
        <v>294</v>
      </c>
      <c r="M22" s="4" t="s">
        <v>295</v>
      </c>
      <c r="N22" t="s">
        <v>83</v>
      </c>
      <c r="O22" s="4" t="s">
        <v>84</v>
      </c>
      <c r="P22" s="4" t="s">
        <v>85</v>
      </c>
      <c r="Q22" s="4"/>
      <c r="R22" s="4"/>
      <c r="T22">
        <v>1</v>
      </c>
      <c r="U22">
        <v>2</v>
      </c>
      <c r="V22" t="s">
        <v>110</v>
      </c>
      <c r="W22" t="s">
        <v>88</v>
      </c>
      <c r="X22" t="s">
        <v>89</v>
      </c>
      <c r="Y22" t="s">
        <v>90</v>
      </c>
      <c r="Z22" t="s">
        <v>296</v>
      </c>
      <c r="AA22" t="s">
        <v>92</v>
      </c>
      <c r="AB22" t="s">
        <v>297</v>
      </c>
      <c r="AC22" s="1">
        <v>1.70278E+18</v>
      </c>
      <c r="AD22" t="s">
        <v>90</v>
      </c>
      <c r="AE22" t="s">
        <v>90</v>
      </c>
      <c r="AF22" t="s">
        <v>94</v>
      </c>
      <c r="AG22" t="s">
        <v>90</v>
      </c>
      <c r="AH22" t="s">
        <v>298</v>
      </c>
      <c r="AI22" t="s">
        <v>96</v>
      </c>
      <c r="AJ22" t="s">
        <v>92</v>
      </c>
      <c r="AK22" t="s">
        <v>92</v>
      </c>
      <c r="AL22" t="s">
        <v>97</v>
      </c>
      <c r="AM22" t="s">
        <v>90</v>
      </c>
      <c r="AN22" t="s">
        <v>90</v>
      </c>
      <c r="AO22" t="s">
        <v>90</v>
      </c>
      <c r="AP22" t="s">
        <v>90</v>
      </c>
      <c r="AQ22" t="s">
        <v>90</v>
      </c>
      <c r="AR22" t="s">
        <v>90</v>
      </c>
      <c r="AS22" t="s">
        <v>90</v>
      </c>
      <c r="AT22" t="s">
        <v>90</v>
      </c>
      <c r="AU22" t="s">
        <v>90</v>
      </c>
      <c r="AV22" t="s">
        <v>90</v>
      </c>
      <c r="AW22" t="s">
        <v>90</v>
      </c>
      <c r="AX22" t="s">
        <v>90</v>
      </c>
      <c r="AY22" t="s">
        <v>90</v>
      </c>
      <c r="AZ22" t="s">
        <v>90</v>
      </c>
      <c r="BA22" t="s">
        <v>90</v>
      </c>
      <c r="BB22" t="s">
        <v>90</v>
      </c>
      <c r="BC22" t="s">
        <v>90</v>
      </c>
      <c r="BD22" t="s">
        <v>90</v>
      </c>
      <c r="BE22" t="s">
        <v>90</v>
      </c>
      <c r="BF22" t="s">
        <v>90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  <c r="BL22" t="s">
        <v>90</v>
      </c>
      <c r="BM22" t="s">
        <v>90</v>
      </c>
      <c r="BN22" t="s">
        <v>90</v>
      </c>
      <c r="BO22" t="s">
        <v>92</v>
      </c>
      <c r="BP22" t="s">
        <v>90</v>
      </c>
      <c r="BQ22" t="s">
        <v>90</v>
      </c>
      <c r="BR22" s="4"/>
      <c r="BS22" t="s">
        <v>288</v>
      </c>
    </row>
    <row r="23" spans="1:72" ht="15" customHeight="1" x14ac:dyDescent="0.25">
      <c r="A23" t="s">
        <v>299</v>
      </c>
      <c r="B23" t="s">
        <v>300</v>
      </c>
      <c r="C23" t="s">
        <v>73</v>
      </c>
      <c r="D23" s="10" t="s">
        <v>301</v>
      </c>
      <c r="E23" t="s">
        <v>103</v>
      </c>
      <c r="G23" t="s">
        <v>280</v>
      </c>
      <c r="H23" t="s">
        <v>281</v>
      </c>
      <c r="I23" t="s">
        <v>200</v>
      </c>
      <c r="J23" t="s">
        <v>79</v>
      </c>
      <c r="K23" t="s">
        <v>80</v>
      </c>
      <c r="L23" t="s">
        <v>302</v>
      </c>
      <c r="M23" t="s">
        <v>303</v>
      </c>
      <c r="N23" t="s">
        <v>83</v>
      </c>
      <c r="O23" t="s">
        <v>84</v>
      </c>
      <c r="P23" t="s">
        <v>85</v>
      </c>
      <c r="T23">
        <v>1</v>
      </c>
      <c r="U23">
        <v>2</v>
      </c>
      <c r="V23" t="s">
        <v>110</v>
      </c>
      <c r="W23" t="s">
        <v>88</v>
      </c>
      <c r="X23" t="s">
        <v>89</v>
      </c>
      <c r="Y23" t="s">
        <v>90</v>
      </c>
      <c r="Z23" t="s">
        <v>304</v>
      </c>
      <c r="AA23" t="s">
        <v>92</v>
      </c>
      <c r="AB23" t="s">
        <v>305</v>
      </c>
      <c r="AC23" s="1">
        <v>1.70295E+18</v>
      </c>
      <c r="AD23" t="s">
        <v>90</v>
      </c>
      <c r="AE23" t="s">
        <v>90</v>
      </c>
      <c r="AF23" t="s">
        <v>94</v>
      </c>
      <c r="AG23" t="s">
        <v>90</v>
      </c>
      <c r="AH23" t="s">
        <v>306</v>
      </c>
      <c r="AI23" t="s">
        <v>96</v>
      </c>
      <c r="AJ23" t="s">
        <v>92</v>
      </c>
      <c r="AK23" t="s">
        <v>92</v>
      </c>
      <c r="AL23" t="s">
        <v>97</v>
      </c>
      <c r="AM23" t="s">
        <v>90</v>
      </c>
      <c r="AN23" t="s">
        <v>90</v>
      </c>
      <c r="AO23" t="s">
        <v>90</v>
      </c>
      <c r="AP23" t="s">
        <v>90</v>
      </c>
      <c r="AQ23" t="s">
        <v>90</v>
      </c>
      <c r="AR23" t="s">
        <v>90</v>
      </c>
      <c r="AS23" t="s">
        <v>90</v>
      </c>
      <c r="AT23" t="s">
        <v>90</v>
      </c>
      <c r="AU23" t="s">
        <v>90</v>
      </c>
      <c r="AV23" t="s">
        <v>90</v>
      </c>
      <c r="AW23" t="s">
        <v>90</v>
      </c>
      <c r="AX23" t="s">
        <v>90</v>
      </c>
      <c r="AY23" t="s">
        <v>90</v>
      </c>
      <c r="AZ23" t="s">
        <v>90</v>
      </c>
      <c r="BA23" t="s">
        <v>90</v>
      </c>
      <c r="BB23" t="s">
        <v>90</v>
      </c>
      <c r="BC23" t="s">
        <v>90</v>
      </c>
      <c r="BD23" t="s">
        <v>90</v>
      </c>
      <c r="BE23" t="s">
        <v>90</v>
      </c>
      <c r="BF23" t="s">
        <v>90</v>
      </c>
      <c r="BG23" t="s">
        <v>90</v>
      </c>
      <c r="BH23" t="s">
        <v>90</v>
      </c>
      <c r="BI23" t="s">
        <v>90</v>
      </c>
      <c r="BJ23" t="s">
        <v>90</v>
      </c>
      <c r="BK23" t="s">
        <v>90</v>
      </c>
      <c r="BL23" t="s">
        <v>90</v>
      </c>
      <c r="BM23" t="s">
        <v>90</v>
      </c>
      <c r="BN23" t="s">
        <v>90</v>
      </c>
      <c r="BO23" t="s">
        <v>92</v>
      </c>
      <c r="BP23" t="s">
        <v>90</v>
      </c>
      <c r="BQ23" t="s">
        <v>90</v>
      </c>
    </row>
    <row r="24" spans="1:72" ht="15" customHeight="1" x14ac:dyDescent="0.25">
      <c r="A24" t="s">
        <v>307</v>
      </c>
      <c r="B24" t="s">
        <v>245</v>
      </c>
      <c r="C24" t="s">
        <v>101</v>
      </c>
      <c r="D24" s="10" t="s">
        <v>308</v>
      </c>
      <c r="E24" t="s">
        <v>75</v>
      </c>
      <c r="G24" t="s">
        <v>309</v>
      </c>
      <c r="H24" t="s">
        <v>310</v>
      </c>
      <c r="I24" t="s">
        <v>78</v>
      </c>
      <c r="J24" t="s">
        <v>79</v>
      </c>
      <c r="K24" t="s">
        <v>80</v>
      </c>
      <c r="L24" t="s">
        <v>311</v>
      </c>
      <c r="M24" t="s">
        <v>312</v>
      </c>
      <c r="N24" t="s">
        <v>83</v>
      </c>
      <c r="O24" t="s">
        <v>84</v>
      </c>
      <c r="P24" t="s">
        <v>109</v>
      </c>
      <c r="Q24" t="s">
        <v>122</v>
      </c>
      <c r="S24" t="s">
        <v>147</v>
      </c>
      <c r="T24">
        <v>1</v>
      </c>
      <c r="U24">
        <v>2</v>
      </c>
      <c r="V24" t="s">
        <v>110</v>
      </c>
      <c r="W24" t="s">
        <v>88</v>
      </c>
      <c r="X24" t="s">
        <v>89</v>
      </c>
      <c r="Y24" t="s">
        <v>90</v>
      </c>
      <c r="Z24" t="s">
        <v>313</v>
      </c>
      <c r="AA24" t="s">
        <v>92</v>
      </c>
      <c r="AB24" t="s">
        <v>314</v>
      </c>
      <c r="AC24" s="1">
        <v>1.70279E+18</v>
      </c>
      <c r="AD24" t="s">
        <v>90</v>
      </c>
      <c r="AE24" t="s">
        <v>90</v>
      </c>
      <c r="AF24" t="s">
        <v>94</v>
      </c>
      <c r="AG24" t="s">
        <v>90</v>
      </c>
      <c r="AH24" t="s">
        <v>315</v>
      </c>
      <c r="AI24" t="s">
        <v>96</v>
      </c>
      <c r="AJ24" t="s">
        <v>92</v>
      </c>
      <c r="AK24" t="s">
        <v>92</v>
      </c>
      <c r="AL24" t="s">
        <v>97</v>
      </c>
      <c r="AM24" t="s">
        <v>90</v>
      </c>
      <c r="AN24" t="s">
        <v>90</v>
      </c>
      <c r="AO24" t="s">
        <v>90</v>
      </c>
      <c r="AP24" t="s">
        <v>90</v>
      </c>
      <c r="AQ24" t="s">
        <v>90</v>
      </c>
      <c r="AR24" t="s">
        <v>90</v>
      </c>
      <c r="AS24" t="s">
        <v>90</v>
      </c>
      <c r="AT24" t="s">
        <v>90</v>
      </c>
      <c r="AU24" t="s">
        <v>90</v>
      </c>
      <c r="AV24" t="s">
        <v>90</v>
      </c>
      <c r="AW24" t="s">
        <v>90</v>
      </c>
      <c r="AX24" t="s">
        <v>90</v>
      </c>
      <c r="AY24" t="s">
        <v>90</v>
      </c>
      <c r="AZ24" t="s">
        <v>90</v>
      </c>
      <c r="BA24" t="s">
        <v>90</v>
      </c>
      <c r="BB24" t="s">
        <v>90</v>
      </c>
      <c r="BC24" t="s">
        <v>90</v>
      </c>
      <c r="BD24" t="s">
        <v>90</v>
      </c>
      <c r="BE24" t="s">
        <v>90</v>
      </c>
      <c r="BF24" t="s">
        <v>90</v>
      </c>
      <c r="BG24" t="s">
        <v>90</v>
      </c>
      <c r="BH24" t="s">
        <v>90</v>
      </c>
      <c r="BI24" t="s">
        <v>90</v>
      </c>
      <c r="BJ24" t="s">
        <v>90</v>
      </c>
      <c r="BK24" t="s">
        <v>90</v>
      </c>
      <c r="BL24" t="s">
        <v>90</v>
      </c>
      <c r="BM24" t="s">
        <v>90</v>
      </c>
      <c r="BN24" t="s">
        <v>90</v>
      </c>
      <c r="BO24" t="s">
        <v>92</v>
      </c>
      <c r="BP24" t="s">
        <v>90</v>
      </c>
      <c r="BQ24" t="s">
        <v>90</v>
      </c>
      <c r="BR24" t="s">
        <v>163</v>
      </c>
    </row>
    <row r="25" spans="1:72" ht="15" customHeight="1" x14ac:dyDescent="0.25">
      <c r="A25" t="s">
        <v>316</v>
      </c>
      <c r="B25" t="s">
        <v>317</v>
      </c>
      <c r="C25" t="s">
        <v>101</v>
      </c>
      <c r="D25" s="10" t="s">
        <v>130</v>
      </c>
      <c r="E25" t="s">
        <v>75</v>
      </c>
      <c r="G25" t="s">
        <v>309</v>
      </c>
      <c r="H25" t="s">
        <v>310</v>
      </c>
      <c r="I25" t="s">
        <v>78</v>
      </c>
      <c r="J25" t="s">
        <v>79</v>
      </c>
      <c r="K25" t="s">
        <v>80</v>
      </c>
      <c r="L25" t="s">
        <v>318</v>
      </c>
      <c r="M25" t="s">
        <v>319</v>
      </c>
      <c r="N25" t="s">
        <v>212</v>
      </c>
      <c r="O25" t="s">
        <v>84</v>
      </c>
      <c r="P25" t="s">
        <v>109</v>
      </c>
      <c r="Q25" t="s">
        <v>122</v>
      </c>
      <c r="S25" t="s">
        <v>147</v>
      </c>
      <c r="T25">
        <v>1</v>
      </c>
      <c r="U25">
        <v>2</v>
      </c>
      <c r="V25" t="s">
        <v>110</v>
      </c>
      <c r="W25" t="s">
        <v>88</v>
      </c>
      <c r="X25" t="s">
        <v>89</v>
      </c>
      <c r="Y25" t="s">
        <v>90</v>
      </c>
      <c r="Z25" t="s">
        <v>320</v>
      </c>
      <c r="AA25" t="s">
        <v>92</v>
      </c>
      <c r="AB25" t="s">
        <v>321</v>
      </c>
      <c r="AC25" s="1">
        <v>2.12311E+18</v>
      </c>
      <c r="AD25" t="s">
        <v>90</v>
      </c>
      <c r="AE25" t="s">
        <v>90</v>
      </c>
      <c r="AF25" t="s">
        <v>94</v>
      </c>
      <c r="AG25" t="s">
        <v>90</v>
      </c>
      <c r="AH25" t="s">
        <v>322</v>
      </c>
      <c r="AI25" t="s">
        <v>96</v>
      </c>
      <c r="AJ25" t="s">
        <v>92</v>
      </c>
      <c r="AK25" t="s">
        <v>92</v>
      </c>
      <c r="AL25" t="s">
        <v>97</v>
      </c>
      <c r="AM25" t="s">
        <v>90</v>
      </c>
      <c r="AN25" t="s">
        <v>90</v>
      </c>
      <c r="AO25" t="s">
        <v>90</v>
      </c>
      <c r="AP25" t="s">
        <v>90</v>
      </c>
      <c r="AQ25" t="s">
        <v>90</v>
      </c>
      <c r="AR25" t="s">
        <v>90</v>
      </c>
      <c r="AS25" t="s">
        <v>90</v>
      </c>
      <c r="AT25" t="s">
        <v>90</v>
      </c>
      <c r="AU25" t="s">
        <v>90</v>
      </c>
      <c r="AV25" t="s">
        <v>90</v>
      </c>
      <c r="AW25" t="s">
        <v>90</v>
      </c>
      <c r="AX25" t="s">
        <v>90</v>
      </c>
      <c r="AY25" t="s">
        <v>90</v>
      </c>
      <c r="AZ25" t="s">
        <v>90</v>
      </c>
      <c r="BA25" t="s">
        <v>90</v>
      </c>
      <c r="BB25" t="s">
        <v>90</v>
      </c>
      <c r="BC25" t="s">
        <v>90</v>
      </c>
      <c r="BD25" t="s">
        <v>90</v>
      </c>
      <c r="BE25" t="s">
        <v>90</v>
      </c>
      <c r="BF25" t="s">
        <v>90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  <c r="BL25" t="s">
        <v>90</v>
      </c>
      <c r="BM25" t="s">
        <v>90</v>
      </c>
      <c r="BN25" t="s">
        <v>90</v>
      </c>
      <c r="BO25" t="s">
        <v>92</v>
      </c>
      <c r="BP25" t="s">
        <v>90</v>
      </c>
      <c r="BQ25" t="s">
        <v>90</v>
      </c>
      <c r="BT25" t="s">
        <v>323</v>
      </c>
    </row>
    <row r="26" spans="1:72" ht="15" customHeight="1" x14ac:dyDescent="0.25">
      <c r="A26" t="s">
        <v>324</v>
      </c>
      <c r="B26" t="s">
        <v>325</v>
      </c>
      <c r="C26" t="s">
        <v>73</v>
      </c>
      <c r="D26" s="10" t="s">
        <v>326</v>
      </c>
      <c r="E26" t="s">
        <v>103</v>
      </c>
      <c r="G26" t="s">
        <v>280</v>
      </c>
      <c r="H26" t="s">
        <v>281</v>
      </c>
      <c r="I26" t="s">
        <v>200</v>
      </c>
      <c r="J26" t="s">
        <v>79</v>
      </c>
      <c r="K26" t="s">
        <v>80</v>
      </c>
      <c r="L26" t="s">
        <v>327</v>
      </c>
      <c r="M26" t="s">
        <v>328</v>
      </c>
      <c r="N26" t="s">
        <v>212</v>
      </c>
      <c r="O26" t="s">
        <v>84</v>
      </c>
      <c r="P26" t="s">
        <v>85</v>
      </c>
      <c r="T26">
        <v>1</v>
      </c>
      <c r="U26">
        <v>2</v>
      </c>
      <c r="V26" t="s">
        <v>110</v>
      </c>
      <c r="W26" t="s">
        <v>88</v>
      </c>
      <c r="X26" t="s">
        <v>89</v>
      </c>
      <c r="Y26" t="s">
        <v>90</v>
      </c>
      <c r="Z26" t="s">
        <v>329</v>
      </c>
      <c r="AA26" t="s">
        <v>92</v>
      </c>
      <c r="AB26" t="s">
        <v>330</v>
      </c>
      <c r="AC26" s="1">
        <v>1.70279E+18</v>
      </c>
      <c r="AD26" t="s">
        <v>90</v>
      </c>
      <c r="AE26" t="s">
        <v>90</v>
      </c>
      <c r="AF26" t="s">
        <v>94</v>
      </c>
      <c r="AG26" t="s">
        <v>90</v>
      </c>
      <c r="AH26" t="s">
        <v>331</v>
      </c>
      <c r="AI26" t="s">
        <v>96</v>
      </c>
      <c r="AJ26" t="s">
        <v>92</v>
      </c>
      <c r="AK26" t="s">
        <v>92</v>
      </c>
      <c r="AL26" t="s">
        <v>97</v>
      </c>
      <c r="AM26" t="s">
        <v>90</v>
      </c>
      <c r="AN26" t="s">
        <v>90</v>
      </c>
      <c r="AO26" t="s">
        <v>90</v>
      </c>
      <c r="AP26" t="s">
        <v>90</v>
      </c>
      <c r="AQ26" t="s">
        <v>90</v>
      </c>
      <c r="AR26" t="s">
        <v>90</v>
      </c>
      <c r="AS26" t="s">
        <v>90</v>
      </c>
      <c r="AT26" t="s">
        <v>90</v>
      </c>
      <c r="AU26" t="s">
        <v>90</v>
      </c>
      <c r="AV26" t="s">
        <v>90</v>
      </c>
      <c r="AW26" t="s">
        <v>90</v>
      </c>
      <c r="AX26" t="s">
        <v>90</v>
      </c>
      <c r="AY26" t="s">
        <v>90</v>
      </c>
      <c r="AZ26" t="s">
        <v>90</v>
      </c>
      <c r="BA26" t="s">
        <v>90</v>
      </c>
      <c r="BB26" t="s">
        <v>90</v>
      </c>
      <c r="BC26" t="s">
        <v>90</v>
      </c>
      <c r="BD26" t="s">
        <v>90</v>
      </c>
      <c r="BE26" t="s">
        <v>90</v>
      </c>
      <c r="BF26" t="s">
        <v>90</v>
      </c>
      <c r="BG26" t="s">
        <v>90</v>
      </c>
      <c r="BH26" t="s">
        <v>90</v>
      </c>
      <c r="BI26" t="s">
        <v>90</v>
      </c>
      <c r="BJ26" t="s">
        <v>90</v>
      </c>
      <c r="BK26" t="s">
        <v>90</v>
      </c>
      <c r="BL26" t="s">
        <v>90</v>
      </c>
      <c r="BM26" t="s">
        <v>90</v>
      </c>
      <c r="BN26" t="s">
        <v>90</v>
      </c>
      <c r="BO26" t="s">
        <v>92</v>
      </c>
      <c r="BP26" t="s">
        <v>90</v>
      </c>
      <c r="BQ26" t="s">
        <v>90</v>
      </c>
    </row>
    <row r="27" spans="1:72" x14ac:dyDescent="0.25">
      <c r="A27" t="s">
        <v>332</v>
      </c>
      <c r="B27" t="s">
        <v>333</v>
      </c>
      <c r="C27" t="s">
        <v>101</v>
      </c>
      <c r="D27" s="10" t="s">
        <v>308</v>
      </c>
      <c r="E27" t="s">
        <v>75</v>
      </c>
      <c r="G27" t="s">
        <v>309</v>
      </c>
      <c r="H27" t="s">
        <v>310</v>
      </c>
      <c r="I27" t="s">
        <v>78</v>
      </c>
      <c r="J27" t="s">
        <v>79</v>
      </c>
      <c r="K27" t="s">
        <v>80</v>
      </c>
      <c r="L27" t="s">
        <v>334</v>
      </c>
      <c r="M27" t="s">
        <v>335</v>
      </c>
      <c r="N27" t="s">
        <v>212</v>
      </c>
      <c r="O27" t="s">
        <v>84</v>
      </c>
      <c r="P27" t="s">
        <v>109</v>
      </c>
      <c r="Q27" t="s">
        <v>122</v>
      </c>
      <c r="S27" t="s">
        <v>147</v>
      </c>
      <c r="T27">
        <v>1</v>
      </c>
      <c r="U27">
        <v>2</v>
      </c>
      <c r="V27" t="s">
        <v>110</v>
      </c>
      <c r="W27" t="s">
        <v>88</v>
      </c>
      <c r="X27" t="s">
        <v>89</v>
      </c>
      <c r="Y27" t="s">
        <v>90</v>
      </c>
      <c r="Z27" t="s">
        <v>336</v>
      </c>
      <c r="AA27" t="s">
        <v>92</v>
      </c>
      <c r="AB27" t="s">
        <v>337</v>
      </c>
      <c r="AC27" s="1">
        <v>1.70279E+18</v>
      </c>
      <c r="AD27" t="s">
        <v>90</v>
      </c>
      <c r="AE27" t="s">
        <v>90</v>
      </c>
      <c r="AF27" t="s">
        <v>94</v>
      </c>
      <c r="AG27" t="s">
        <v>90</v>
      </c>
      <c r="AH27" t="s">
        <v>338</v>
      </c>
      <c r="AI27" t="s">
        <v>96</v>
      </c>
      <c r="AJ27" t="s">
        <v>92</v>
      </c>
      <c r="AK27" t="s">
        <v>92</v>
      </c>
      <c r="AL27" t="s">
        <v>97</v>
      </c>
      <c r="AM27" t="s">
        <v>90</v>
      </c>
      <c r="AN27" t="s">
        <v>90</v>
      </c>
      <c r="AO27" t="s">
        <v>90</v>
      </c>
      <c r="AP27" t="s">
        <v>90</v>
      </c>
      <c r="AQ27" t="s">
        <v>90</v>
      </c>
      <c r="AR27" t="s">
        <v>90</v>
      </c>
      <c r="AS27" t="s">
        <v>90</v>
      </c>
      <c r="AT27" t="s">
        <v>90</v>
      </c>
      <c r="AU27" t="s">
        <v>90</v>
      </c>
      <c r="AV27" t="s">
        <v>90</v>
      </c>
      <c r="AW27" t="s">
        <v>90</v>
      </c>
      <c r="AX27" t="s">
        <v>90</v>
      </c>
      <c r="AY27" t="s">
        <v>90</v>
      </c>
      <c r="AZ27" t="s">
        <v>90</v>
      </c>
      <c r="BA27" t="s">
        <v>90</v>
      </c>
      <c r="BB27" t="s">
        <v>90</v>
      </c>
      <c r="BC27" t="s">
        <v>90</v>
      </c>
      <c r="BD27" t="s">
        <v>90</v>
      </c>
      <c r="BE27" t="s">
        <v>90</v>
      </c>
      <c r="BF27" t="s">
        <v>90</v>
      </c>
      <c r="BG27" t="s">
        <v>90</v>
      </c>
      <c r="BH27" t="s">
        <v>90</v>
      </c>
      <c r="BI27" t="s">
        <v>90</v>
      </c>
      <c r="BJ27" t="s">
        <v>90</v>
      </c>
      <c r="BK27" t="s">
        <v>90</v>
      </c>
      <c r="BL27" t="s">
        <v>90</v>
      </c>
      <c r="BM27" t="s">
        <v>90</v>
      </c>
      <c r="BN27" t="s">
        <v>90</v>
      </c>
      <c r="BO27" t="s">
        <v>92</v>
      </c>
      <c r="BP27" t="s">
        <v>90</v>
      </c>
      <c r="BQ27" t="s">
        <v>90</v>
      </c>
      <c r="BR27" t="s">
        <v>339</v>
      </c>
    </row>
    <row r="28" spans="1:72" x14ac:dyDescent="0.25">
      <c r="A28" t="s">
        <v>340</v>
      </c>
      <c r="B28" t="s">
        <v>72</v>
      </c>
      <c r="C28" t="s">
        <v>101</v>
      </c>
      <c r="D28" t="s">
        <v>153</v>
      </c>
      <c r="E28" t="s">
        <v>75</v>
      </c>
      <c r="F28" t="s">
        <v>154</v>
      </c>
      <c r="G28" t="s">
        <v>341</v>
      </c>
      <c r="H28" t="s">
        <v>342</v>
      </c>
      <c r="I28" t="s">
        <v>78</v>
      </c>
      <c r="J28" t="s">
        <v>79</v>
      </c>
      <c r="K28" t="s">
        <v>80</v>
      </c>
      <c r="L28" t="s">
        <v>343</v>
      </c>
      <c r="M28" t="s">
        <v>344</v>
      </c>
      <c r="N28" t="s">
        <v>83</v>
      </c>
      <c r="O28" t="s">
        <v>84</v>
      </c>
      <c r="P28" t="s">
        <v>85</v>
      </c>
      <c r="S28" t="s">
        <v>86</v>
      </c>
      <c r="T28">
        <v>1</v>
      </c>
      <c r="U28">
        <v>4</v>
      </c>
      <c r="V28" t="s">
        <v>110</v>
      </c>
      <c r="W28" t="s">
        <v>88</v>
      </c>
      <c r="X28" t="s">
        <v>89</v>
      </c>
      <c r="Y28" t="s">
        <v>90</v>
      </c>
      <c r="Z28" t="s">
        <v>345</v>
      </c>
      <c r="AA28" t="s">
        <v>92</v>
      </c>
      <c r="AB28" t="s">
        <v>346</v>
      </c>
      <c r="AC28" s="1">
        <v>1.70224E+18</v>
      </c>
      <c r="AD28" t="s">
        <v>90</v>
      </c>
      <c r="AE28" t="s">
        <v>90</v>
      </c>
      <c r="AF28" t="s">
        <v>94</v>
      </c>
      <c r="AG28" t="s">
        <v>90</v>
      </c>
      <c r="AH28" t="s">
        <v>347</v>
      </c>
      <c r="AI28" t="s">
        <v>96</v>
      </c>
      <c r="AJ28" t="s">
        <v>92</v>
      </c>
      <c r="AK28" t="s">
        <v>92</v>
      </c>
      <c r="AL28" t="s">
        <v>97</v>
      </c>
      <c r="AM28" t="s">
        <v>90</v>
      </c>
      <c r="AN28" t="s">
        <v>90</v>
      </c>
      <c r="AO28" t="s">
        <v>90</v>
      </c>
      <c r="AP28" t="s">
        <v>90</v>
      </c>
      <c r="AQ28" t="s">
        <v>90</v>
      </c>
      <c r="AR28" t="s">
        <v>90</v>
      </c>
      <c r="AS28" t="s">
        <v>90</v>
      </c>
      <c r="AT28" t="s">
        <v>90</v>
      </c>
      <c r="AU28" t="s">
        <v>90</v>
      </c>
      <c r="AV28" t="s">
        <v>90</v>
      </c>
      <c r="AW28" t="s">
        <v>90</v>
      </c>
      <c r="AX28" t="s">
        <v>90</v>
      </c>
      <c r="AY28" t="s">
        <v>90</v>
      </c>
      <c r="AZ28" t="s">
        <v>90</v>
      </c>
      <c r="BA28" t="s">
        <v>90</v>
      </c>
      <c r="BB28" t="s">
        <v>90</v>
      </c>
      <c r="BC28" t="s">
        <v>90</v>
      </c>
      <c r="BD28" t="s">
        <v>90</v>
      </c>
      <c r="BE28" t="s">
        <v>90</v>
      </c>
      <c r="BF28" t="s">
        <v>90</v>
      </c>
      <c r="BG28" t="s">
        <v>90</v>
      </c>
      <c r="BH28" t="s">
        <v>90</v>
      </c>
      <c r="BI28" t="s">
        <v>90</v>
      </c>
      <c r="BJ28" t="s">
        <v>90</v>
      </c>
      <c r="BK28" t="s">
        <v>90</v>
      </c>
      <c r="BL28" t="s">
        <v>90</v>
      </c>
      <c r="BM28" t="s">
        <v>90</v>
      </c>
      <c r="BN28" t="s">
        <v>90</v>
      </c>
      <c r="BO28" t="s">
        <v>92</v>
      </c>
      <c r="BP28" t="s">
        <v>90</v>
      </c>
      <c r="BQ28" t="s">
        <v>90</v>
      </c>
      <c r="BR28" t="s">
        <v>163</v>
      </c>
    </row>
    <row r="29" spans="1:72" ht="15" customHeight="1" x14ac:dyDescent="0.25">
      <c r="A29" t="s">
        <v>348</v>
      </c>
      <c r="B29" t="s">
        <v>349</v>
      </c>
      <c r="C29" t="s">
        <v>101</v>
      </c>
      <c r="D29" s="10" t="s">
        <v>175</v>
      </c>
      <c r="E29" t="s">
        <v>75</v>
      </c>
      <c r="G29" t="s">
        <v>350</v>
      </c>
      <c r="H29" t="s">
        <v>351</v>
      </c>
      <c r="I29" t="s">
        <v>78</v>
      </c>
      <c r="J29" t="s">
        <v>79</v>
      </c>
      <c r="K29" t="s">
        <v>80</v>
      </c>
      <c r="L29" t="s">
        <v>352</v>
      </c>
      <c r="M29" t="s">
        <v>353</v>
      </c>
      <c r="N29" t="s">
        <v>212</v>
      </c>
      <c r="O29" t="s">
        <v>84</v>
      </c>
      <c r="P29" t="s">
        <v>109</v>
      </c>
      <c r="Q29" t="s">
        <v>122</v>
      </c>
      <c r="S29" t="s">
        <v>189</v>
      </c>
      <c r="T29">
        <v>1</v>
      </c>
      <c r="U29">
        <v>2</v>
      </c>
      <c r="V29" t="s">
        <v>110</v>
      </c>
      <c r="W29" t="s">
        <v>88</v>
      </c>
      <c r="X29" t="s">
        <v>89</v>
      </c>
      <c r="Y29" t="s">
        <v>90</v>
      </c>
      <c r="Z29" t="s">
        <v>354</v>
      </c>
      <c r="AA29" t="s">
        <v>92</v>
      </c>
      <c r="AB29" t="s">
        <v>355</v>
      </c>
      <c r="AC29" s="1">
        <v>2.18906E+18</v>
      </c>
      <c r="AD29" t="s">
        <v>90</v>
      </c>
      <c r="AE29" t="s">
        <v>90</v>
      </c>
      <c r="AF29" t="s">
        <v>94</v>
      </c>
      <c r="AG29" t="s">
        <v>90</v>
      </c>
      <c r="AH29" t="s">
        <v>356</v>
      </c>
      <c r="AI29" t="s">
        <v>96</v>
      </c>
      <c r="AJ29" t="s">
        <v>92</v>
      </c>
      <c r="AK29" t="s">
        <v>92</v>
      </c>
      <c r="AL29" t="s">
        <v>97</v>
      </c>
      <c r="AM29" t="s">
        <v>90</v>
      </c>
      <c r="AN29" t="s">
        <v>90</v>
      </c>
      <c r="AO29" t="s">
        <v>90</v>
      </c>
      <c r="AP29" t="s">
        <v>90</v>
      </c>
      <c r="AQ29" t="s">
        <v>90</v>
      </c>
      <c r="AR29" t="s">
        <v>90</v>
      </c>
      <c r="AS29" t="s">
        <v>90</v>
      </c>
      <c r="AT29" t="s">
        <v>90</v>
      </c>
      <c r="AU29" t="s">
        <v>90</v>
      </c>
      <c r="AV29" t="s">
        <v>90</v>
      </c>
      <c r="AW29" t="s">
        <v>90</v>
      </c>
      <c r="AX29" t="s">
        <v>90</v>
      </c>
      <c r="AY29" t="s">
        <v>90</v>
      </c>
      <c r="AZ29" t="s">
        <v>90</v>
      </c>
      <c r="BA29" t="s">
        <v>90</v>
      </c>
      <c r="BB29" t="s">
        <v>90</v>
      </c>
      <c r="BC29" t="s">
        <v>90</v>
      </c>
      <c r="BD29" t="s">
        <v>90</v>
      </c>
      <c r="BE29" t="s">
        <v>90</v>
      </c>
      <c r="BF29" t="s">
        <v>90</v>
      </c>
      <c r="BG29" t="s">
        <v>90</v>
      </c>
      <c r="BH29" t="s">
        <v>90</v>
      </c>
      <c r="BI29" t="s">
        <v>90</v>
      </c>
      <c r="BJ29" t="s">
        <v>90</v>
      </c>
      <c r="BK29" t="s">
        <v>90</v>
      </c>
      <c r="BL29" t="s">
        <v>90</v>
      </c>
      <c r="BM29" t="s">
        <v>90</v>
      </c>
      <c r="BN29" t="s">
        <v>90</v>
      </c>
      <c r="BO29" t="s">
        <v>92</v>
      </c>
      <c r="BP29" t="s">
        <v>90</v>
      </c>
      <c r="BQ29" t="s">
        <v>90</v>
      </c>
      <c r="BR29" t="s">
        <v>206</v>
      </c>
      <c r="BT29" s="9"/>
    </row>
    <row r="30" spans="1:72" ht="15" customHeight="1" x14ac:dyDescent="0.25">
      <c r="A30" s="5" t="s">
        <v>357</v>
      </c>
      <c r="B30" s="5" t="s">
        <v>358</v>
      </c>
      <c r="C30" s="5" t="s">
        <v>73</v>
      </c>
      <c r="D30" s="12" t="s">
        <v>359</v>
      </c>
      <c r="E30" s="5" t="s">
        <v>103</v>
      </c>
      <c r="F30" s="5"/>
      <c r="G30" s="5" t="s">
        <v>280</v>
      </c>
      <c r="H30" s="5" t="s">
        <v>281</v>
      </c>
      <c r="I30" t="s">
        <v>200</v>
      </c>
      <c r="J30" t="s">
        <v>79</v>
      </c>
      <c r="K30" t="s">
        <v>80</v>
      </c>
      <c r="L30" s="5" t="s">
        <v>360</v>
      </c>
      <c r="M30" s="5" t="s">
        <v>361</v>
      </c>
      <c r="N30" t="s">
        <v>83</v>
      </c>
      <c r="O30" s="5" t="s">
        <v>84</v>
      </c>
      <c r="P30" s="5" t="s">
        <v>85</v>
      </c>
      <c r="Q30" s="5"/>
      <c r="R30" s="5"/>
      <c r="T30">
        <v>1</v>
      </c>
      <c r="U30">
        <v>2</v>
      </c>
      <c r="V30" t="s">
        <v>110</v>
      </c>
      <c r="W30" t="s">
        <v>88</v>
      </c>
      <c r="X30" t="s">
        <v>89</v>
      </c>
      <c r="Y30" t="s">
        <v>90</v>
      </c>
      <c r="Z30" t="s">
        <v>362</v>
      </c>
      <c r="AA30" t="s">
        <v>92</v>
      </c>
      <c r="AB30" t="s">
        <v>363</v>
      </c>
      <c r="AC30" s="1">
        <v>1.70568E+18</v>
      </c>
      <c r="AD30" t="s">
        <v>90</v>
      </c>
      <c r="AE30" t="s">
        <v>90</v>
      </c>
      <c r="AF30" t="s">
        <v>94</v>
      </c>
      <c r="AG30" t="s">
        <v>90</v>
      </c>
      <c r="AH30" t="s">
        <v>364</v>
      </c>
      <c r="AI30" t="s">
        <v>96</v>
      </c>
      <c r="AJ30" t="s">
        <v>92</v>
      </c>
      <c r="AK30" t="s">
        <v>92</v>
      </c>
      <c r="AL30" t="s">
        <v>97</v>
      </c>
      <c r="AM30" t="s">
        <v>90</v>
      </c>
      <c r="AN30" t="s">
        <v>90</v>
      </c>
      <c r="AO30" t="s">
        <v>90</v>
      </c>
      <c r="AP30" t="s">
        <v>90</v>
      </c>
      <c r="AQ30" t="s">
        <v>90</v>
      </c>
      <c r="AR30" t="s">
        <v>90</v>
      </c>
      <c r="AS30" t="s">
        <v>90</v>
      </c>
      <c r="AT30" t="s">
        <v>90</v>
      </c>
      <c r="AU30" t="s">
        <v>90</v>
      </c>
      <c r="AV30" t="s">
        <v>90</v>
      </c>
      <c r="AW30" t="s">
        <v>90</v>
      </c>
      <c r="AX30" t="s">
        <v>90</v>
      </c>
      <c r="AY30" t="s">
        <v>90</v>
      </c>
      <c r="AZ30" t="s">
        <v>90</v>
      </c>
      <c r="BA30" t="s">
        <v>90</v>
      </c>
      <c r="BB30" t="s">
        <v>90</v>
      </c>
      <c r="BC30" t="s">
        <v>90</v>
      </c>
      <c r="BD30" t="s">
        <v>90</v>
      </c>
      <c r="BE30" t="s">
        <v>90</v>
      </c>
      <c r="BF30" t="s">
        <v>90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90</v>
      </c>
      <c r="BM30" t="s">
        <v>90</v>
      </c>
      <c r="BN30" t="s">
        <v>90</v>
      </c>
      <c r="BO30" t="s">
        <v>92</v>
      </c>
      <c r="BP30" t="s">
        <v>90</v>
      </c>
      <c r="BQ30" t="s">
        <v>90</v>
      </c>
      <c r="BR30" s="5"/>
      <c r="BS30" t="s">
        <v>288</v>
      </c>
    </row>
    <row r="31" spans="1:72" ht="15" customHeight="1" x14ac:dyDescent="0.25">
      <c r="A31" s="5" t="s">
        <v>365</v>
      </c>
      <c r="B31" s="5" t="s">
        <v>366</v>
      </c>
      <c r="C31" s="5" t="s">
        <v>73</v>
      </c>
      <c r="D31" s="12" t="s">
        <v>367</v>
      </c>
      <c r="E31" s="5" t="s">
        <v>103</v>
      </c>
      <c r="F31" s="5"/>
      <c r="G31" s="5" t="s">
        <v>368</v>
      </c>
      <c r="H31" s="5" t="s">
        <v>369</v>
      </c>
      <c r="I31" t="s">
        <v>200</v>
      </c>
      <c r="J31" t="s">
        <v>79</v>
      </c>
      <c r="K31" t="s">
        <v>80</v>
      </c>
      <c r="L31" s="5" t="s">
        <v>370</v>
      </c>
      <c r="M31" s="5" t="s">
        <v>371</v>
      </c>
      <c r="N31" t="s">
        <v>83</v>
      </c>
      <c r="O31" s="5" t="s">
        <v>84</v>
      </c>
      <c r="P31" s="5" t="s">
        <v>85</v>
      </c>
      <c r="Q31" s="5"/>
      <c r="R31" s="5"/>
      <c r="T31">
        <v>1</v>
      </c>
      <c r="U31">
        <v>2</v>
      </c>
      <c r="V31" t="s">
        <v>110</v>
      </c>
      <c r="W31" t="s">
        <v>88</v>
      </c>
      <c r="X31" t="s">
        <v>89</v>
      </c>
      <c r="Y31" t="s">
        <v>90</v>
      </c>
      <c r="Z31" t="s">
        <v>372</v>
      </c>
      <c r="AA31" t="s">
        <v>92</v>
      </c>
      <c r="AB31" t="s">
        <v>373</v>
      </c>
      <c r="AC31" s="1">
        <v>1.70279E+18</v>
      </c>
      <c r="AD31" t="s">
        <v>90</v>
      </c>
      <c r="AE31" t="s">
        <v>90</v>
      </c>
      <c r="AF31" t="s">
        <v>94</v>
      </c>
      <c r="AG31" t="s">
        <v>90</v>
      </c>
      <c r="AH31" t="s">
        <v>374</v>
      </c>
      <c r="AI31" t="s">
        <v>96</v>
      </c>
      <c r="AJ31" t="s">
        <v>92</v>
      </c>
      <c r="AK31" t="s">
        <v>92</v>
      </c>
      <c r="AL31" t="s">
        <v>97</v>
      </c>
      <c r="AM31" t="s">
        <v>90</v>
      </c>
      <c r="AN31" t="s">
        <v>90</v>
      </c>
      <c r="AO31" t="s">
        <v>90</v>
      </c>
      <c r="AP31" t="s">
        <v>90</v>
      </c>
      <c r="AQ31" t="s">
        <v>90</v>
      </c>
      <c r="AR31" t="s">
        <v>90</v>
      </c>
      <c r="AS31" t="s">
        <v>90</v>
      </c>
      <c r="AT31" t="s">
        <v>90</v>
      </c>
      <c r="AU31" t="s">
        <v>90</v>
      </c>
      <c r="AV31" t="s">
        <v>90</v>
      </c>
      <c r="AW31" t="s">
        <v>90</v>
      </c>
      <c r="AX31" t="s">
        <v>90</v>
      </c>
      <c r="AY31" t="s">
        <v>90</v>
      </c>
      <c r="AZ31" t="s">
        <v>90</v>
      </c>
      <c r="BA31" t="s">
        <v>90</v>
      </c>
      <c r="BB31" t="s">
        <v>90</v>
      </c>
      <c r="BC31" t="s">
        <v>90</v>
      </c>
      <c r="BD31" t="s">
        <v>90</v>
      </c>
      <c r="BE31" t="s">
        <v>90</v>
      </c>
      <c r="BF31" t="s">
        <v>90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90</v>
      </c>
      <c r="BM31" t="s">
        <v>90</v>
      </c>
      <c r="BN31" t="s">
        <v>90</v>
      </c>
      <c r="BO31" t="s">
        <v>92</v>
      </c>
      <c r="BP31" t="s">
        <v>90</v>
      </c>
      <c r="BQ31" t="s">
        <v>90</v>
      </c>
      <c r="BR31" s="5"/>
      <c r="BS31" t="s">
        <v>288</v>
      </c>
    </row>
    <row r="32" spans="1:72" x14ac:dyDescent="0.25">
      <c r="A32" t="s">
        <v>375</v>
      </c>
      <c r="B32" t="s">
        <v>376</v>
      </c>
      <c r="C32" t="s">
        <v>101</v>
      </c>
      <c r="D32" s="10" t="s">
        <v>263</v>
      </c>
      <c r="E32" t="s">
        <v>75</v>
      </c>
      <c r="G32" t="s">
        <v>350</v>
      </c>
      <c r="H32" t="s">
        <v>351</v>
      </c>
      <c r="I32" t="s">
        <v>78</v>
      </c>
      <c r="J32" t="s">
        <v>79</v>
      </c>
      <c r="K32" t="s">
        <v>80</v>
      </c>
      <c r="L32" t="s">
        <v>377</v>
      </c>
      <c r="M32" t="s">
        <v>378</v>
      </c>
      <c r="N32" t="s">
        <v>83</v>
      </c>
      <c r="O32" t="s">
        <v>84</v>
      </c>
      <c r="P32" t="s">
        <v>109</v>
      </c>
      <c r="Q32" t="s">
        <v>122</v>
      </c>
      <c r="S32" t="s">
        <v>189</v>
      </c>
      <c r="T32">
        <v>1</v>
      </c>
      <c r="U32">
        <v>2</v>
      </c>
      <c r="V32" t="s">
        <v>110</v>
      </c>
      <c r="W32" t="s">
        <v>88</v>
      </c>
      <c r="X32" t="s">
        <v>89</v>
      </c>
      <c r="Y32" t="s">
        <v>90</v>
      </c>
      <c r="Z32" t="s">
        <v>379</v>
      </c>
      <c r="AA32" t="s">
        <v>92</v>
      </c>
      <c r="AB32" t="s">
        <v>380</v>
      </c>
      <c r="AC32" s="1">
        <v>1.70279E+18</v>
      </c>
      <c r="AD32" t="s">
        <v>90</v>
      </c>
      <c r="AE32" t="s">
        <v>90</v>
      </c>
      <c r="AF32" t="s">
        <v>94</v>
      </c>
      <c r="AG32" t="s">
        <v>90</v>
      </c>
      <c r="AH32" t="s">
        <v>381</v>
      </c>
      <c r="AI32" t="s">
        <v>96</v>
      </c>
      <c r="AJ32" t="s">
        <v>92</v>
      </c>
      <c r="AK32" t="s">
        <v>92</v>
      </c>
      <c r="AL32" t="s">
        <v>97</v>
      </c>
      <c r="AM32" t="s">
        <v>90</v>
      </c>
      <c r="AN32" t="s">
        <v>90</v>
      </c>
      <c r="AO32" t="s">
        <v>90</v>
      </c>
      <c r="AP32" t="s">
        <v>90</v>
      </c>
      <c r="AQ32" t="s">
        <v>90</v>
      </c>
      <c r="AR32" t="s">
        <v>90</v>
      </c>
      <c r="AS32" t="s">
        <v>90</v>
      </c>
      <c r="AT32" t="s">
        <v>90</v>
      </c>
      <c r="AU32" t="s">
        <v>90</v>
      </c>
      <c r="AV32" t="s">
        <v>90</v>
      </c>
      <c r="AW32" t="s">
        <v>90</v>
      </c>
      <c r="AX32" t="s">
        <v>90</v>
      </c>
      <c r="AY32" t="s">
        <v>90</v>
      </c>
      <c r="AZ32" t="s">
        <v>90</v>
      </c>
      <c r="BA32" t="s">
        <v>90</v>
      </c>
      <c r="BB32" t="s">
        <v>90</v>
      </c>
      <c r="BC32" t="s">
        <v>90</v>
      </c>
      <c r="BD32" t="s">
        <v>90</v>
      </c>
      <c r="BE32" t="s">
        <v>90</v>
      </c>
      <c r="BF32" t="s">
        <v>90</v>
      </c>
      <c r="BG32" t="s">
        <v>90</v>
      </c>
      <c r="BH32" t="s">
        <v>90</v>
      </c>
      <c r="BI32" t="s">
        <v>90</v>
      </c>
      <c r="BJ32" t="s">
        <v>90</v>
      </c>
      <c r="BK32" t="s">
        <v>90</v>
      </c>
      <c r="BL32" t="s">
        <v>90</v>
      </c>
      <c r="BM32" t="s">
        <v>90</v>
      </c>
      <c r="BN32" t="s">
        <v>90</v>
      </c>
      <c r="BO32" t="s">
        <v>92</v>
      </c>
      <c r="BP32" t="s">
        <v>90</v>
      </c>
      <c r="BQ32" t="s">
        <v>90</v>
      </c>
      <c r="BR32" t="s">
        <v>382</v>
      </c>
    </row>
    <row r="33" spans="1:71" x14ac:dyDescent="0.25">
      <c r="A33" t="s">
        <v>383</v>
      </c>
      <c r="B33" t="s">
        <v>384</v>
      </c>
      <c r="C33" t="s">
        <v>101</v>
      </c>
      <c r="D33" s="10" t="s">
        <v>263</v>
      </c>
      <c r="E33" t="s">
        <v>75</v>
      </c>
      <c r="G33" t="s">
        <v>350</v>
      </c>
      <c r="H33" t="s">
        <v>351</v>
      </c>
      <c r="I33" t="s">
        <v>78</v>
      </c>
      <c r="J33" t="s">
        <v>79</v>
      </c>
      <c r="K33" t="s">
        <v>80</v>
      </c>
      <c r="L33" t="s">
        <v>385</v>
      </c>
      <c r="M33" t="s">
        <v>386</v>
      </c>
      <c r="N33" t="s">
        <v>83</v>
      </c>
      <c r="O33" t="s">
        <v>84</v>
      </c>
      <c r="P33" t="s">
        <v>109</v>
      </c>
      <c r="Q33" t="s">
        <v>122</v>
      </c>
      <c r="S33" t="s">
        <v>123</v>
      </c>
      <c r="T33">
        <v>1</v>
      </c>
      <c r="U33">
        <v>2</v>
      </c>
      <c r="V33" t="s">
        <v>110</v>
      </c>
      <c r="W33" t="s">
        <v>88</v>
      </c>
      <c r="X33" t="s">
        <v>89</v>
      </c>
      <c r="Y33" t="s">
        <v>90</v>
      </c>
      <c r="Z33" t="s">
        <v>387</v>
      </c>
      <c r="AA33" t="s">
        <v>92</v>
      </c>
      <c r="AB33" t="s">
        <v>388</v>
      </c>
      <c r="AC33" s="1">
        <v>1.70224E+18</v>
      </c>
      <c r="AD33" t="s">
        <v>90</v>
      </c>
      <c r="AE33" t="s">
        <v>90</v>
      </c>
      <c r="AF33" t="s">
        <v>94</v>
      </c>
      <c r="AG33" t="s">
        <v>90</v>
      </c>
      <c r="AH33" t="s">
        <v>389</v>
      </c>
      <c r="AI33" t="s">
        <v>96</v>
      </c>
      <c r="AJ33" t="s">
        <v>92</v>
      </c>
      <c r="AK33" t="s">
        <v>92</v>
      </c>
      <c r="AL33" t="s">
        <v>97</v>
      </c>
      <c r="AM33" t="s">
        <v>90</v>
      </c>
      <c r="AN33" t="s">
        <v>90</v>
      </c>
      <c r="AO33" t="s">
        <v>90</v>
      </c>
      <c r="AP33" t="s">
        <v>90</v>
      </c>
      <c r="AQ33" t="s">
        <v>90</v>
      </c>
      <c r="AR33" t="s">
        <v>90</v>
      </c>
      <c r="AS33" t="s">
        <v>90</v>
      </c>
      <c r="AT33" t="s">
        <v>90</v>
      </c>
      <c r="AU33" t="s">
        <v>90</v>
      </c>
      <c r="AV33" t="s">
        <v>90</v>
      </c>
      <c r="AW33" t="s">
        <v>90</v>
      </c>
      <c r="AX33" t="s">
        <v>90</v>
      </c>
      <c r="AY33" t="s">
        <v>90</v>
      </c>
      <c r="AZ33" t="s">
        <v>90</v>
      </c>
      <c r="BA33" t="s">
        <v>90</v>
      </c>
      <c r="BB33" t="s">
        <v>90</v>
      </c>
      <c r="BC33" t="s">
        <v>90</v>
      </c>
      <c r="BD33" t="s">
        <v>90</v>
      </c>
      <c r="BE33" t="s">
        <v>90</v>
      </c>
      <c r="BF33" t="s">
        <v>90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 t="s">
        <v>90</v>
      </c>
      <c r="BM33" t="s">
        <v>90</v>
      </c>
      <c r="BN33" t="s">
        <v>90</v>
      </c>
      <c r="BO33" t="s">
        <v>92</v>
      </c>
      <c r="BP33" t="s">
        <v>90</v>
      </c>
      <c r="BQ33" t="s">
        <v>90</v>
      </c>
      <c r="BR33" t="s">
        <v>390</v>
      </c>
    </row>
    <row r="34" spans="1:71" ht="15" customHeight="1" x14ac:dyDescent="0.25">
      <c r="A34" s="5" t="s">
        <v>391</v>
      </c>
      <c r="B34" s="5" t="s">
        <v>392</v>
      </c>
      <c r="C34" s="5" t="s">
        <v>73</v>
      </c>
      <c r="D34" s="12" t="s">
        <v>393</v>
      </c>
      <c r="E34" s="5" t="s">
        <v>103</v>
      </c>
      <c r="F34" s="5"/>
      <c r="G34" s="5" t="s">
        <v>368</v>
      </c>
      <c r="H34" s="5" t="s">
        <v>369</v>
      </c>
      <c r="I34" t="s">
        <v>200</v>
      </c>
      <c r="J34" t="s">
        <v>79</v>
      </c>
      <c r="K34" t="s">
        <v>80</v>
      </c>
      <c r="L34" s="5" t="s">
        <v>394</v>
      </c>
      <c r="M34" s="5" t="s">
        <v>395</v>
      </c>
      <c r="N34" t="s">
        <v>83</v>
      </c>
      <c r="O34" s="5" t="s">
        <v>84</v>
      </c>
      <c r="P34" s="5" t="s">
        <v>85</v>
      </c>
      <c r="Q34" s="5"/>
      <c r="R34" s="5"/>
      <c r="T34">
        <v>1</v>
      </c>
      <c r="U34">
        <v>2</v>
      </c>
      <c r="V34" t="s">
        <v>110</v>
      </c>
      <c r="W34" t="s">
        <v>88</v>
      </c>
      <c r="X34" t="s">
        <v>89</v>
      </c>
      <c r="Y34" t="s">
        <v>90</v>
      </c>
      <c r="Z34" t="s">
        <v>396</v>
      </c>
      <c r="AA34" t="s">
        <v>92</v>
      </c>
      <c r="AB34" t="s">
        <v>397</v>
      </c>
      <c r="AC34" s="1">
        <v>1.70279E+18</v>
      </c>
      <c r="AD34" t="s">
        <v>90</v>
      </c>
      <c r="AE34" t="s">
        <v>90</v>
      </c>
      <c r="AF34" t="s">
        <v>94</v>
      </c>
      <c r="AG34" t="s">
        <v>90</v>
      </c>
      <c r="AH34" t="s">
        <v>398</v>
      </c>
      <c r="AI34" t="s">
        <v>96</v>
      </c>
      <c r="AJ34" t="s">
        <v>92</v>
      </c>
      <c r="AK34" t="s">
        <v>92</v>
      </c>
      <c r="AL34" t="s">
        <v>97</v>
      </c>
      <c r="AM34" t="s">
        <v>90</v>
      </c>
      <c r="AN34" t="s">
        <v>90</v>
      </c>
      <c r="AO34" t="s">
        <v>90</v>
      </c>
      <c r="AP34" t="s">
        <v>90</v>
      </c>
      <c r="AQ34" t="s">
        <v>90</v>
      </c>
      <c r="AR34" t="s">
        <v>90</v>
      </c>
      <c r="AS34" t="s">
        <v>90</v>
      </c>
      <c r="AT34" t="s">
        <v>90</v>
      </c>
      <c r="AU34" t="s">
        <v>90</v>
      </c>
      <c r="AV34" t="s">
        <v>90</v>
      </c>
      <c r="AW34" t="s">
        <v>90</v>
      </c>
      <c r="AX34" t="s">
        <v>90</v>
      </c>
      <c r="AY34" t="s">
        <v>90</v>
      </c>
      <c r="AZ34" t="s">
        <v>90</v>
      </c>
      <c r="BA34" t="s">
        <v>90</v>
      </c>
      <c r="BB34" t="s">
        <v>90</v>
      </c>
      <c r="BC34" t="s">
        <v>90</v>
      </c>
      <c r="BD34" t="s">
        <v>90</v>
      </c>
      <c r="BE34" t="s">
        <v>90</v>
      </c>
      <c r="BF34" t="s">
        <v>90</v>
      </c>
      <c r="BG34" t="s">
        <v>90</v>
      </c>
      <c r="BH34" t="s">
        <v>90</v>
      </c>
      <c r="BI34" t="s">
        <v>90</v>
      </c>
      <c r="BJ34" t="s">
        <v>90</v>
      </c>
      <c r="BK34" t="s">
        <v>90</v>
      </c>
      <c r="BL34" t="s">
        <v>90</v>
      </c>
      <c r="BM34" t="s">
        <v>90</v>
      </c>
      <c r="BN34" t="s">
        <v>90</v>
      </c>
      <c r="BO34" t="s">
        <v>92</v>
      </c>
      <c r="BP34" t="s">
        <v>90</v>
      </c>
      <c r="BQ34" t="s">
        <v>90</v>
      </c>
      <c r="BR34" s="5"/>
      <c r="BS34" t="s">
        <v>288</v>
      </c>
    </row>
    <row r="35" spans="1:71" ht="15" customHeight="1" x14ac:dyDescent="0.25">
      <c r="A35" t="s">
        <v>399</v>
      </c>
      <c r="B35" t="s">
        <v>400</v>
      </c>
      <c r="C35" t="s">
        <v>101</v>
      </c>
      <c r="D35" t="s">
        <v>175</v>
      </c>
      <c r="E35" t="s">
        <v>75</v>
      </c>
      <c r="G35" t="s">
        <v>350</v>
      </c>
      <c r="H35" t="s">
        <v>351</v>
      </c>
      <c r="I35" t="s">
        <v>78</v>
      </c>
      <c r="J35" t="s">
        <v>79</v>
      </c>
      <c r="K35" t="s">
        <v>80</v>
      </c>
      <c r="L35" t="s">
        <v>401</v>
      </c>
      <c r="M35" t="s">
        <v>402</v>
      </c>
      <c r="N35" t="s">
        <v>83</v>
      </c>
      <c r="O35" t="s">
        <v>84</v>
      </c>
      <c r="P35" t="s">
        <v>85</v>
      </c>
      <c r="S35" t="s">
        <v>147</v>
      </c>
      <c r="T35">
        <v>1</v>
      </c>
      <c r="U35">
        <v>2</v>
      </c>
      <c r="V35" t="s">
        <v>110</v>
      </c>
      <c r="W35" t="s">
        <v>88</v>
      </c>
      <c r="X35" t="s">
        <v>89</v>
      </c>
      <c r="Y35" t="s">
        <v>90</v>
      </c>
      <c r="Z35" t="s">
        <v>403</v>
      </c>
      <c r="AA35" t="s">
        <v>92</v>
      </c>
      <c r="AB35" t="s">
        <v>404</v>
      </c>
      <c r="AC35" s="1">
        <v>1.7013E+18</v>
      </c>
      <c r="AD35" t="s">
        <v>90</v>
      </c>
      <c r="AE35" t="s">
        <v>90</v>
      </c>
      <c r="AF35" t="s">
        <v>94</v>
      </c>
      <c r="AG35" t="s">
        <v>90</v>
      </c>
      <c r="AH35" t="s">
        <v>405</v>
      </c>
      <c r="AI35" t="s">
        <v>96</v>
      </c>
      <c r="AJ35" t="s">
        <v>92</v>
      </c>
      <c r="AK35" t="s">
        <v>92</v>
      </c>
      <c r="AL35" t="s">
        <v>97</v>
      </c>
      <c r="AM35" t="s">
        <v>90</v>
      </c>
      <c r="AN35" t="s">
        <v>90</v>
      </c>
      <c r="AO35" t="s">
        <v>90</v>
      </c>
      <c r="AP35" t="s">
        <v>90</v>
      </c>
      <c r="AQ35" t="s">
        <v>90</v>
      </c>
      <c r="AR35" t="s">
        <v>90</v>
      </c>
      <c r="AS35" t="s">
        <v>90</v>
      </c>
      <c r="AT35" t="s">
        <v>90</v>
      </c>
      <c r="AU35" t="s">
        <v>90</v>
      </c>
      <c r="AV35" t="s">
        <v>90</v>
      </c>
      <c r="AW35" t="s">
        <v>90</v>
      </c>
      <c r="AX35" t="s">
        <v>90</v>
      </c>
      <c r="AY35" t="s">
        <v>90</v>
      </c>
      <c r="AZ35" t="s">
        <v>90</v>
      </c>
      <c r="BA35" t="s">
        <v>90</v>
      </c>
      <c r="BB35" t="s">
        <v>90</v>
      </c>
      <c r="BC35" t="s">
        <v>90</v>
      </c>
      <c r="BD35" t="s">
        <v>90</v>
      </c>
      <c r="BE35" t="s">
        <v>90</v>
      </c>
      <c r="BF35" t="s">
        <v>90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 t="s">
        <v>90</v>
      </c>
      <c r="BM35" t="s">
        <v>90</v>
      </c>
      <c r="BN35" t="s">
        <v>90</v>
      </c>
      <c r="BO35" t="s">
        <v>92</v>
      </c>
      <c r="BP35" t="s">
        <v>90</v>
      </c>
      <c r="BQ35" t="s">
        <v>90</v>
      </c>
      <c r="BR35" t="s">
        <v>406</v>
      </c>
    </row>
    <row r="36" spans="1:71" ht="15" customHeight="1" x14ac:dyDescent="0.25">
      <c r="A36" s="2" t="s">
        <v>407</v>
      </c>
      <c r="B36" s="2" t="s">
        <v>408</v>
      </c>
      <c r="C36" s="2" t="s">
        <v>73</v>
      </c>
      <c r="D36" s="13" t="s">
        <v>409</v>
      </c>
      <c r="E36" s="2" t="s">
        <v>103</v>
      </c>
      <c r="F36" s="2"/>
      <c r="G36" s="2" t="s">
        <v>368</v>
      </c>
      <c r="H36" s="2" t="s">
        <v>369</v>
      </c>
      <c r="I36" t="s">
        <v>200</v>
      </c>
      <c r="J36" t="s">
        <v>79</v>
      </c>
      <c r="K36" t="s">
        <v>80</v>
      </c>
      <c r="L36" s="2" t="s">
        <v>410</v>
      </c>
      <c r="M36" s="2" t="s">
        <v>411</v>
      </c>
      <c r="N36" t="s">
        <v>83</v>
      </c>
      <c r="O36" s="2" t="s">
        <v>84</v>
      </c>
      <c r="P36" s="2" t="s">
        <v>85</v>
      </c>
      <c r="Q36" s="2"/>
      <c r="R36" s="2"/>
      <c r="T36">
        <v>1</v>
      </c>
      <c r="U36">
        <v>2</v>
      </c>
      <c r="V36" t="s">
        <v>110</v>
      </c>
      <c r="W36" t="s">
        <v>88</v>
      </c>
      <c r="X36" t="s">
        <v>89</v>
      </c>
      <c r="Y36" t="s">
        <v>90</v>
      </c>
      <c r="Z36" t="s">
        <v>412</v>
      </c>
      <c r="AA36" t="s">
        <v>92</v>
      </c>
      <c r="AB36" t="s">
        <v>413</v>
      </c>
      <c r="AC36" s="1">
        <v>1.70279E+18</v>
      </c>
      <c r="AD36" t="s">
        <v>90</v>
      </c>
      <c r="AE36" t="s">
        <v>90</v>
      </c>
      <c r="AF36" t="s">
        <v>94</v>
      </c>
      <c r="AG36" t="s">
        <v>90</v>
      </c>
      <c r="AH36" t="s">
        <v>414</v>
      </c>
      <c r="AI36" t="s">
        <v>96</v>
      </c>
      <c r="AJ36" t="s">
        <v>92</v>
      </c>
      <c r="AK36" t="s">
        <v>92</v>
      </c>
      <c r="AL36" t="s">
        <v>97</v>
      </c>
      <c r="AM36" t="s">
        <v>90</v>
      </c>
      <c r="AN36" t="s">
        <v>90</v>
      </c>
      <c r="AO36" t="s">
        <v>90</v>
      </c>
      <c r="AP36" t="s">
        <v>90</v>
      </c>
      <c r="AQ36" t="s">
        <v>90</v>
      </c>
      <c r="AR36" t="s">
        <v>90</v>
      </c>
      <c r="AS36" t="s">
        <v>90</v>
      </c>
      <c r="AT36" t="s">
        <v>90</v>
      </c>
      <c r="AU36" t="s">
        <v>90</v>
      </c>
      <c r="AV36" t="s">
        <v>90</v>
      </c>
      <c r="AW36" t="s">
        <v>90</v>
      </c>
      <c r="AX36" t="s">
        <v>90</v>
      </c>
      <c r="AY36" t="s">
        <v>90</v>
      </c>
      <c r="AZ36" t="s">
        <v>90</v>
      </c>
      <c r="BA36" t="s">
        <v>90</v>
      </c>
      <c r="BB36" t="s">
        <v>90</v>
      </c>
      <c r="BC36" t="s">
        <v>90</v>
      </c>
      <c r="BD36" t="s">
        <v>90</v>
      </c>
      <c r="BE36" t="s">
        <v>90</v>
      </c>
      <c r="BF36" t="s">
        <v>90</v>
      </c>
      <c r="BG36" t="s">
        <v>90</v>
      </c>
      <c r="BH36" t="s">
        <v>90</v>
      </c>
      <c r="BI36" t="s">
        <v>90</v>
      </c>
      <c r="BJ36" t="s">
        <v>90</v>
      </c>
      <c r="BK36" t="s">
        <v>90</v>
      </c>
      <c r="BL36" t="s">
        <v>90</v>
      </c>
      <c r="BM36" t="s">
        <v>90</v>
      </c>
      <c r="BN36" t="s">
        <v>90</v>
      </c>
      <c r="BO36" t="s">
        <v>92</v>
      </c>
      <c r="BP36" t="s">
        <v>90</v>
      </c>
      <c r="BQ36" t="s">
        <v>90</v>
      </c>
      <c r="BR36" s="2"/>
      <c r="BS36" t="s">
        <v>288</v>
      </c>
    </row>
    <row r="37" spans="1:71" ht="15" customHeight="1" x14ac:dyDescent="0.25">
      <c r="A37" t="s">
        <v>415</v>
      </c>
      <c r="B37" t="s">
        <v>416</v>
      </c>
      <c r="C37" t="s">
        <v>417</v>
      </c>
      <c r="D37" t="s">
        <v>90</v>
      </c>
      <c r="E37" t="s">
        <v>103</v>
      </c>
      <c r="G37" t="s">
        <v>418</v>
      </c>
      <c r="H37" t="s">
        <v>419</v>
      </c>
      <c r="I37" t="s">
        <v>78</v>
      </c>
      <c r="J37" t="s">
        <v>79</v>
      </c>
      <c r="K37" t="s">
        <v>80</v>
      </c>
      <c r="L37" t="s">
        <v>420</v>
      </c>
      <c r="M37" t="s">
        <v>421</v>
      </c>
      <c r="N37" t="s">
        <v>83</v>
      </c>
      <c r="O37" t="s">
        <v>84</v>
      </c>
      <c r="P37" t="s">
        <v>85</v>
      </c>
      <c r="S37" t="s">
        <v>86</v>
      </c>
      <c r="T37">
        <v>1</v>
      </c>
      <c r="U37">
        <v>2</v>
      </c>
      <c r="V37" t="s">
        <v>110</v>
      </c>
      <c r="W37" t="s">
        <v>88</v>
      </c>
      <c r="X37" t="s">
        <v>89</v>
      </c>
      <c r="Y37" t="s">
        <v>90</v>
      </c>
      <c r="Z37" t="s">
        <v>422</v>
      </c>
      <c r="AA37" t="s">
        <v>92</v>
      </c>
      <c r="AB37" t="s">
        <v>423</v>
      </c>
      <c r="AC37" s="1">
        <v>1.70562E+18</v>
      </c>
      <c r="AD37" t="s">
        <v>90</v>
      </c>
      <c r="AE37" t="s">
        <v>90</v>
      </c>
      <c r="AF37" t="s">
        <v>94</v>
      </c>
      <c r="AG37" t="s">
        <v>90</v>
      </c>
      <c r="AH37" t="s">
        <v>424</v>
      </c>
      <c r="AI37" t="s">
        <v>96</v>
      </c>
      <c r="AJ37" t="s">
        <v>92</v>
      </c>
      <c r="AK37" t="s">
        <v>92</v>
      </c>
      <c r="AL37" t="s">
        <v>97</v>
      </c>
      <c r="AM37" t="s">
        <v>90</v>
      </c>
      <c r="AN37" t="s">
        <v>90</v>
      </c>
      <c r="AO37" t="s">
        <v>90</v>
      </c>
      <c r="AP37" t="s">
        <v>90</v>
      </c>
      <c r="AQ37" t="s">
        <v>90</v>
      </c>
      <c r="AR37" t="s">
        <v>90</v>
      </c>
      <c r="AS37" t="s">
        <v>90</v>
      </c>
      <c r="AT37" t="s">
        <v>90</v>
      </c>
      <c r="AU37" t="s">
        <v>90</v>
      </c>
      <c r="AV37" t="s">
        <v>90</v>
      </c>
      <c r="AW37" t="s">
        <v>90</v>
      </c>
      <c r="AX37" t="s">
        <v>90</v>
      </c>
      <c r="AY37" t="s">
        <v>90</v>
      </c>
      <c r="AZ37" t="s">
        <v>90</v>
      </c>
      <c r="BA37" t="s">
        <v>90</v>
      </c>
      <c r="BB37" t="s">
        <v>90</v>
      </c>
      <c r="BC37" t="s">
        <v>90</v>
      </c>
      <c r="BD37" t="s">
        <v>90</v>
      </c>
      <c r="BE37" t="s">
        <v>90</v>
      </c>
      <c r="BF37" t="s">
        <v>90</v>
      </c>
      <c r="BG37" t="s">
        <v>90</v>
      </c>
      <c r="BH37" t="s">
        <v>90</v>
      </c>
      <c r="BI37" t="s">
        <v>90</v>
      </c>
      <c r="BJ37" t="s">
        <v>90</v>
      </c>
      <c r="BK37" t="s">
        <v>90</v>
      </c>
      <c r="BL37" t="s">
        <v>90</v>
      </c>
      <c r="BM37" t="s">
        <v>90</v>
      </c>
      <c r="BN37" t="s">
        <v>90</v>
      </c>
      <c r="BO37" t="s">
        <v>92</v>
      </c>
      <c r="BP37" t="s">
        <v>90</v>
      </c>
      <c r="BQ37" t="s">
        <v>90</v>
      </c>
      <c r="BR37" t="s">
        <v>406</v>
      </c>
    </row>
    <row r="38" spans="1:71" ht="15" customHeight="1" x14ac:dyDescent="0.25">
      <c r="A38" t="s">
        <v>425</v>
      </c>
      <c r="B38" t="s">
        <v>426</v>
      </c>
      <c r="C38" t="s">
        <v>101</v>
      </c>
      <c r="D38" t="s">
        <v>427</v>
      </c>
      <c r="E38" t="s">
        <v>75</v>
      </c>
      <c r="G38" t="s">
        <v>428</v>
      </c>
      <c r="H38" t="s">
        <v>429</v>
      </c>
      <c r="I38" t="s">
        <v>78</v>
      </c>
      <c r="J38" t="s">
        <v>79</v>
      </c>
      <c r="K38" t="s">
        <v>80</v>
      </c>
      <c r="L38" t="s">
        <v>430</v>
      </c>
      <c r="M38" t="s">
        <v>431</v>
      </c>
      <c r="N38" t="s">
        <v>83</v>
      </c>
      <c r="O38" t="s">
        <v>84</v>
      </c>
      <c r="P38" t="s">
        <v>85</v>
      </c>
      <c r="S38" t="s">
        <v>147</v>
      </c>
      <c r="T38">
        <v>1</v>
      </c>
      <c r="U38">
        <v>2</v>
      </c>
      <c r="V38" t="s">
        <v>110</v>
      </c>
      <c r="W38" t="s">
        <v>88</v>
      </c>
      <c r="X38" t="s">
        <v>89</v>
      </c>
      <c r="Y38" t="s">
        <v>90</v>
      </c>
      <c r="Z38" t="s">
        <v>432</v>
      </c>
      <c r="AA38" t="s">
        <v>92</v>
      </c>
      <c r="AB38" t="s">
        <v>433</v>
      </c>
      <c r="AC38" s="1">
        <v>1.70224E+18</v>
      </c>
      <c r="AD38" t="s">
        <v>90</v>
      </c>
      <c r="AE38" t="s">
        <v>90</v>
      </c>
      <c r="AF38" t="s">
        <v>94</v>
      </c>
      <c r="AG38" t="s">
        <v>90</v>
      </c>
      <c r="AH38" t="s">
        <v>434</v>
      </c>
      <c r="AI38" t="s">
        <v>96</v>
      </c>
      <c r="AJ38" t="s">
        <v>92</v>
      </c>
      <c r="AK38" t="s">
        <v>92</v>
      </c>
      <c r="AL38" t="s">
        <v>97</v>
      </c>
      <c r="AM38" t="s">
        <v>90</v>
      </c>
      <c r="AN38" t="s">
        <v>90</v>
      </c>
      <c r="AO38" t="s">
        <v>90</v>
      </c>
      <c r="AP38" t="s">
        <v>90</v>
      </c>
      <c r="AQ38" t="s">
        <v>90</v>
      </c>
      <c r="AR38" t="s">
        <v>90</v>
      </c>
      <c r="AS38" t="s">
        <v>90</v>
      </c>
      <c r="AT38" t="s">
        <v>90</v>
      </c>
      <c r="AU38" t="s">
        <v>90</v>
      </c>
      <c r="AV38" t="s">
        <v>90</v>
      </c>
      <c r="AW38" t="s">
        <v>90</v>
      </c>
      <c r="AX38" t="s">
        <v>90</v>
      </c>
      <c r="AY38" t="s">
        <v>90</v>
      </c>
      <c r="AZ38" t="s">
        <v>90</v>
      </c>
      <c r="BA38" t="s">
        <v>90</v>
      </c>
      <c r="BB38" t="s">
        <v>90</v>
      </c>
      <c r="BC38" t="s">
        <v>90</v>
      </c>
      <c r="BD38" t="s">
        <v>90</v>
      </c>
      <c r="BE38" t="s">
        <v>90</v>
      </c>
      <c r="BF38" t="s">
        <v>90</v>
      </c>
      <c r="BG38" t="s">
        <v>90</v>
      </c>
      <c r="BH38" t="s">
        <v>90</v>
      </c>
      <c r="BI38" t="s">
        <v>90</v>
      </c>
      <c r="BJ38" t="s">
        <v>90</v>
      </c>
      <c r="BK38" t="s">
        <v>90</v>
      </c>
      <c r="BL38" t="s">
        <v>90</v>
      </c>
      <c r="BM38" t="s">
        <v>90</v>
      </c>
      <c r="BN38" t="s">
        <v>90</v>
      </c>
      <c r="BO38" t="s">
        <v>92</v>
      </c>
      <c r="BP38" t="s">
        <v>90</v>
      </c>
      <c r="BQ38" t="s">
        <v>90</v>
      </c>
      <c r="BR38" t="s">
        <v>151</v>
      </c>
    </row>
    <row r="39" spans="1:71" x14ac:dyDescent="0.25">
      <c r="A39" t="s">
        <v>435</v>
      </c>
      <c r="B39" t="s">
        <v>436</v>
      </c>
      <c r="C39" t="s">
        <v>101</v>
      </c>
      <c r="D39" t="s">
        <v>427</v>
      </c>
      <c r="E39" t="s">
        <v>75</v>
      </c>
      <c r="G39" t="s">
        <v>428</v>
      </c>
      <c r="H39" t="s">
        <v>429</v>
      </c>
      <c r="I39" t="s">
        <v>78</v>
      </c>
      <c r="J39" t="s">
        <v>79</v>
      </c>
      <c r="K39" t="s">
        <v>80</v>
      </c>
      <c r="L39" t="s">
        <v>437</v>
      </c>
      <c r="M39" t="s">
        <v>438</v>
      </c>
      <c r="N39" t="s">
        <v>83</v>
      </c>
      <c r="O39" t="s">
        <v>84</v>
      </c>
      <c r="P39" t="s">
        <v>85</v>
      </c>
      <c r="S39" t="s">
        <v>147</v>
      </c>
      <c r="T39">
        <v>1</v>
      </c>
      <c r="U39">
        <v>2</v>
      </c>
      <c r="V39" t="s">
        <v>110</v>
      </c>
      <c r="W39" t="s">
        <v>88</v>
      </c>
      <c r="X39" t="s">
        <v>89</v>
      </c>
      <c r="Y39" t="s">
        <v>90</v>
      </c>
      <c r="Z39" t="s">
        <v>439</v>
      </c>
      <c r="AA39" t="s">
        <v>92</v>
      </c>
      <c r="AB39" t="s">
        <v>440</v>
      </c>
      <c r="AC39" s="1">
        <v>1.70224E+18</v>
      </c>
      <c r="AD39" t="s">
        <v>90</v>
      </c>
      <c r="AE39" t="s">
        <v>90</v>
      </c>
      <c r="AF39" t="s">
        <v>94</v>
      </c>
      <c r="AG39" t="s">
        <v>90</v>
      </c>
      <c r="AH39" t="s">
        <v>441</v>
      </c>
      <c r="AI39" t="s">
        <v>96</v>
      </c>
      <c r="AJ39" t="s">
        <v>92</v>
      </c>
      <c r="AK39" t="s">
        <v>92</v>
      </c>
      <c r="AL39" t="s">
        <v>97</v>
      </c>
      <c r="AM39" t="s">
        <v>90</v>
      </c>
      <c r="AN39" t="s">
        <v>90</v>
      </c>
      <c r="AO39" t="s">
        <v>90</v>
      </c>
      <c r="AP39" t="s">
        <v>90</v>
      </c>
      <c r="AQ39" t="s">
        <v>90</v>
      </c>
      <c r="AR39" t="s">
        <v>90</v>
      </c>
      <c r="AS39" t="s">
        <v>90</v>
      </c>
      <c r="AT39" t="s">
        <v>90</v>
      </c>
      <c r="AU39" t="s">
        <v>90</v>
      </c>
      <c r="AV39" t="s">
        <v>90</v>
      </c>
      <c r="AW39" t="s">
        <v>90</v>
      </c>
      <c r="AX39" t="s">
        <v>90</v>
      </c>
      <c r="AY39" t="s">
        <v>90</v>
      </c>
      <c r="AZ39" t="s">
        <v>90</v>
      </c>
      <c r="BA39" t="s">
        <v>90</v>
      </c>
      <c r="BB39" t="s">
        <v>90</v>
      </c>
      <c r="BC39" t="s">
        <v>90</v>
      </c>
      <c r="BD39" t="s">
        <v>90</v>
      </c>
      <c r="BE39" t="s">
        <v>90</v>
      </c>
      <c r="BF39" t="s">
        <v>90</v>
      </c>
      <c r="BG39" t="s">
        <v>90</v>
      </c>
      <c r="BH39" t="s">
        <v>90</v>
      </c>
      <c r="BI39" t="s">
        <v>90</v>
      </c>
      <c r="BJ39" t="s">
        <v>90</v>
      </c>
      <c r="BK39" t="s">
        <v>90</v>
      </c>
      <c r="BL39" t="s">
        <v>90</v>
      </c>
      <c r="BM39" t="s">
        <v>90</v>
      </c>
      <c r="BN39" t="s">
        <v>90</v>
      </c>
      <c r="BO39" t="s">
        <v>92</v>
      </c>
      <c r="BP39" t="s">
        <v>90</v>
      </c>
      <c r="BQ39" t="s">
        <v>90</v>
      </c>
      <c r="BR39" t="s">
        <v>406</v>
      </c>
    </row>
    <row r="40" spans="1:71" x14ac:dyDescent="0.25">
      <c r="A40" t="s">
        <v>442</v>
      </c>
      <c r="B40" t="s">
        <v>443</v>
      </c>
      <c r="C40" t="s">
        <v>417</v>
      </c>
      <c r="D40" t="s">
        <v>90</v>
      </c>
      <c r="E40" t="s">
        <v>103</v>
      </c>
      <c r="G40" t="s">
        <v>418</v>
      </c>
      <c r="H40" t="s">
        <v>419</v>
      </c>
      <c r="I40" t="s">
        <v>78</v>
      </c>
      <c r="J40" t="s">
        <v>79</v>
      </c>
      <c r="K40" t="s">
        <v>80</v>
      </c>
      <c r="L40" t="s">
        <v>444</v>
      </c>
      <c r="M40" t="s">
        <v>445</v>
      </c>
      <c r="N40" t="s">
        <v>83</v>
      </c>
      <c r="O40" t="s">
        <v>84</v>
      </c>
      <c r="P40" t="s">
        <v>85</v>
      </c>
      <c r="S40" t="s">
        <v>86</v>
      </c>
      <c r="BR40" t="s">
        <v>406</v>
      </c>
    </row>
    <row r="41" spans="1:71" ht="15" customHeight="1" x14ac:dyDescent="0.25">
      <c r="A41" t="s">
        <v>446</v>
      </c>
      <c r="B41" t="s">
        <v>443</v>
      </c>
      <c r="C41" t="s">
        <v>417</v>
      </c>
      <c r="D41" t="s">
        <v>90</v>
      </c>
      <c r="E41" t="s">
        <v>103</v>
      </c>
      <c r="G41" t="s">
        <v>418</v>
      </c>
      <c r="H41" t="s">
        <v>419</v>
      </c>
      <c r="I41" t="s">
        <v>78</v>
      </c>
      <c r="J41" t="s">
        <v>79</v>
      </c>
      <c r="K41" t="s">
        <v>80</v>
      </c>
      <c r="L41" t="s">
        <v>447</v>
      </c>
      <c r="M41" t="s">
        <v>448</v>
      </c>
      <c r="N41" t="s">
        <v>83</v>
      </c>
      <c r="O41" t="s">
        <v>84</v>
      </c>
      <c r="P41" t="s">
        <v>85</v>
      </c>
      <c r="S41" t="s">
        <v>86</v>
      </c>
      <c r="T41">
        <v>1</v>
      </c>
      <c r="U41">
        <v>2</v>
      </c>
      <c r="V41" t="s">
        <v>110</v>
      </c>
      <c r="W41" t="s">
        <v>88</v>
      </c>
      <c r="X41" t="s">
        <v>89</v>
      </c>
      <c r="Y41" t="s">
        <v>90</v>
      </c>
      <c r="Z41" t="s">
        <v>449</v>
      </c>
      <c r="AA41" t="s">
        <v>92</v>
      </c>
      <c r="AB41" t="s">
        <v>450</v>
      </c>
      <c r="AC41" s="1">
        <v>1.7028E+18</v>
      </c>
      <c r="AD41" t="s">
        <v>90</v>
      </c>
      <c r="AE41" t="s">
        <v>90</v>
      </c>
      <c r="AF41" t="s">
        <v>94</v>
      </c>
      <c r="AG41" t="s">
        <v>90</v>
      </c>
      <c r="AH41" t="s">
        <v>451</v>
      </c>
      <c r="AI41" t="s">
        <v>96</v>
      </c>
      <c r="AJ41" t="s">
        <v>92</v>
      </c>
      <c r="AK41" t="s">
        <v>92</v>
      </c>
      <c r="AL41" t="s">
        <v>97</v>
      </c>
      <c r="AM41" t="s">
        <v>90</v>
      </c>
      <c r="AN41" t="s">
        <v>90</v>
      </c>
      <c r="AO41" t="s">
        <v>90</v>
      </c>
      <c r="AP41" t="s">
        <v>90</v>
      </c>
      <c r="AQ41" t="s">
        <v>90</v>
      </c>
      <c r="AR41" t="s">
        <v>90</v>
      </c>
      <c r="AS41" t="s">
        <v>90</v>
      </c>
      <c r="AT41" t="s">
        <v>90</v>
      </c>
      <c r="AU41" t="s">
        <v>90</v>
      </c>
      <c r="AV41" t="s">
        <v>90</v>
      </c>
      <c r="AW41" t="s">
        <v>90</v>
      </c>
      <c r="AX41" t="s">
        <v>90</v>
      </c>
      <c r="AY41" t="s">
        <v>90</v>
      </c>
      <c r="AZ41" t="s">
        <v>90</v>
      </c>
      <c r="BA41" t="s">
        <v>90</v>
      </c>
      <c r="BB41" t="s">
        <v>90</v>
      </c>
      <c r="BC41" t="s">
        <v>90</v>
      </c>
      <c r="BD41" t="s">
        <v>90</v>
      </c>
      <c r="BE41" t="s">
        <v>90</v>
      </c>
      <c r="BF41" t="s">
        <v>90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 t="s">
        <v>90</v>
      </c>
      <c r="BM41" t="s">
        <v>90</v>
      </c>
      <c r="BN41" t="s">
        <v>90</v>
      </c>
      <c r="BO41" t="s">
        <v>92</v>
      </c>
      <c r="BP41" t="s">
        <v>90</v>
      </c>
      <c r="BQ41" t="s">
        <v>90</v>
      </c>
      <c r="BR41" t="s">
        <v>406</v>
      </c>
    </row>
    <row r="42" spans="1:71" ht="15" customHeight="1" x14ac:dyDescent="0.25">
      <c r="A42" t="s">
        <v>452</v>
      </c>
      <c r="B42" t="s">
        <v>453</v>
      </c>
      <c r="C42" t="s">
        <v>101</v>
      </c>
      <c r="D42" s="10" t="s">
        <v>130</v>
      </c>
      <c r="E42" t="s">
        <v>75</v>
      </c>
      <c r="G42" t="s">
        <v>428</v>
      </c>
      <c r="H42" t="s">
        <v>429</v>
      </c>
      <c r="I42" t="s">
        <v>78</v>
      </c>
      <c r="J42" t="s">
        <v>79</v>
      </c>
      <c r="K42" t="s">
        <v>80</v>
      </c>
      <c r="L42" t="s">
        <v>454</v>
      </c>
      <c r="M42" t="s">
        <v>455</v>
      </c>
      <c r="N42" t="s">
        <v>83</v>
      </c>
      <c r="O42" t="s">
        <v>84</v>
      </c>
      <c r="P42" t="s">
        <v>109</v>
      </c>
      <c r="Q42" t="s">
        <v>122</v>
      </c>
      <c r="R42" t="s">
        <v>456</v>
      </c>
      <c r="S42" t="s">
        <v>147</v>
      </c>
      <c r="T42">
        <v>1</v>
      </c>
      <c r="U42">
        <v>2</v>
      </c>
      <c r="V42" t="s">
        <v>110</v>
      </c>
      <c r="W42" t="s">
        <v>88</v>
      </c>
      <c r="X42" t="s">
        <v>89</v>
      </c>
      <c r="Y42" t="s">
        <v>90</v>
      </c>
      <c r="Z42" t="s">
        <v>457</v>
      </c>
      <c r="AA42" t="s">
        <v>92</v>
      </c>
      <c r="AB42" t="s">
        <v>458</v>
      </c>
      <c r="AC42" s="1">
        <v>1.70068E+18</v>
      </c>
      <c r="AD42" t="s">
        <v>90</v>
      </c>
      <c r="AE42" t="s">
        <v>90</v>
      </c>
      <c r="AF42" t="s">
        <v>94</v>
      </c>
      <c r="AG42" t="s">
        <v>90</v>
      </c>
      <c r="AH42" t="s">
        <v>459</v>
      </c>
      <c r="AI42" t="s">
        <v>96</v>
      </c>
      <c r="AJ42" t="s">
        <v>92</v>
      </c>
      <c r="AK42" t="s">
        <v>92</v>
      </c>
      <c r="AL42" t="s">
        <v>97</v>
      </c>
      <c r="AM42" t="s">
        <v>90</v>
      </c>
      <c r="AN42" t="s">
        <v>90</v>
      </c>
      <c r="AO42" t="s">
        <v>90</v>
      </c>
      <c r="AP42" t="s">
        <v>90</v>
      </c>
      <c r="AQ42" t="s">
        <v>90</v>
      </c>
      <c r="AR42" t="s">
        <v>90</v>
      </c>
      <c r="AS42" t="s">
        <v>90</v>
      </c>
      <c r="AT42" t="s">
        <v>90</v>
      </c>
      <c r="AU42" t="s">
        <v>90</v>
      </c>
      <c r="AV42" t="s">
        <v>90</v>
      </c>
      <c r="AW42" t="s">
        <v>90</v>
      </c>
      <c r="AX42" t="s">
        <v>90</v>
      </c>
      <c r="AY42" t="s">
        <v>90</v>
      </c>
      <c r="AZ42" t="s">
        <v>90</v>
      </c>
      <c r="BA42" t="s">
        <v>90</v>
      </c>
      <c r="BB42" t="s">
        <v>90</v>
      </c>
      <c r="BC42" t="s">
        <v>90</v>
      </c>
      <c r="BD42" t="s">
        <v>90</v>
      </c>
      <c r="BE42" t="s">
        <v>90</v>
      </c>
      <c r="BF42" t="s">
        <v>90</v>
      </c>
      <c r="BG42" t="s">
        <v>90</v>
      </c>
      <c r="BH42" t="s">
        <v>90</v>
      </c>
      <c r="BI42" t="s">
        <v>90</v>
      </c>
      <c r="BJ42" t="s">
        <v>90</v>
      </c>
      <c r="BK42" t="s">
        <v>90</v>
      </c>
      <c r="BL42" t="s">
        <v>90</v>
      </c>
      <c r="BM42" t="s">
        <v>90</v>
      </c>
      <c r="BN42" t="s">
        <v>90</v>
      </c>
      <c r="BO42" t="s">
        <v>92</v>
      </c>
      <c r="BP42" t="s">
        <v>90</v>
      </c>
      <c r="BQ42" t="s">
        <v>90</v>
      </c>
      <c r="BR42" t="s">
        <v>163</v>
      </c>
    </row>
    <row r="43" spans="1:71" ht="15" customHeight="1" x14ac:dyDescent="0.25">
      <c r="A43" t="s">
        <v>460</v>
      </c>
      <c r="B43" t="s">
        <v>461</v>
      </c>
      <c r="C43" t="s">
        <v>73</v>
      </c>
      <c r="D43" s="10" t="s">
        <v>462</v>
      </c>
      <c r="E43" t="s">
        <v>103</v>
      </c>
      <c r="G43" t="s">
        <v>463</v>
      </c>
      <c r="H43" t="s">
        <v>369</v>
      </c>
      <c r="I43" t="s">
        <v>200</v>
      </c>
      <c r="J43" t="s">
        <v>79</v>
      </c>
      <c r="K43" t="s">
        <v>80</v>
      </c>
      <c r="L43" t="s">
        <v>464</v>
      </c>
      <c r="M43" t="s">
        <v>465</v>
      </c>
      <c r="N43" t="s">
        <v>83</v>
      </c>
      <c r="O43" t="s">
        <v>84</v>
      </c>
      <c r="P43" t="s">
        <v>85</v>
      </c>
      <c r="T43">
        <v>1</v>
      </c>
      <c r="U43">
        <v>2</v>
      </c>
      <c r="V43" t="s">
        <v>87</v>
      </c>
      <c r="W43" t="s">
        <v>88</v>
      </c>
      <c r="X43" t="s">
        <v>89</v>
      </c>
      <c r="Y43" t="s">
        <v>90</v>
      </c>
      <c r="Z43" t="s">
        <v>466</v>
      </c>
      <c r="AA43" t="s">
        <v>92</v>
      </c>
      <c r="AB43" t="s">
        <v>467</v>
      </c>
      <c r="AC43" s="1">
        <v>1.70571E+18</v>
      </c>
      <c r="AD43" t="s">
        <v>90</v>
      </c>
      <c r="AE43" t="s">
        <v>90</v>
      </c>
      <c r="AF43" t="s">
        <v>94</v>
      </c>
      <c r="AG43" t="s">
        <v>90</v>
      </c>
      <c r="AH43" t="s">
        <v>468</v>
      </c>
      <c r="AI43" t="s">
        <v>96</v>
      </c>
      <c r="AJ43" t="s">
        <v>92</v>
      </c>
      <c r="AK43" t="s">
        <v>92</v>
      </c>
      <c r="AL43" t="s">
        <v>97</v>
      </c>
      <c r="AM43" t="s">
        <v>90</v>
      </c>
      <c r="AN43" t="s">
        <v>90</v>
      </c>
      <c r="AO43" t="s">
        <v>90</v>
      </c>
      <c r="AP43" t="s">
        <v>90</v>
      </c>
      <c r="AQ43" t="s">
        <v>90</v>
      </c>
      <c r="AR43" t="s">
        <v>90</v>
      </c>
      <c r="AS43" t="s">
        <v>90</v>
      </c>
      <c r="AT43" t="s">
        <v>90</v>
      </c>
      <c r="AU43" t="s">
        <v>90</v>
      </c>
      <c r="AV43" t="s">
        <v>90</v>
      </c>
      <c r="AW43" t="s">
        <v>90</v>
      </c>
      <c r="AX43" t="s">
        <v>90</v>
      </c>
      <c r="AY43" t="s">
        <v>90</v>
      </c>
      <c r="AZ43" t="s">
        <v>90</v>
      </c>
      <c r="BA43" t="s">
        <v>90</v>
      </c>
      <c r="BB43" t="s">
        <v>90</v>
      </c>
      <c r="BC43" t="s">
        <v>90</v>
      </c>
      <c r="BD43" t="s">
        <v>90</v>
      </c>
      <c r="BE43" t="s">
        <v>90</v>
      </c>
      <c r="BF43" t="s">
        <v>90</v>
      </c>
      <c r="BG43" t="s">
        <v>90</v>
      </c>
      <c r="BH43" t="s">
        <v>90</v>
      </c>
      <c r="BI43" t="s">
        <v>90</v>
      </c>
      <c r="BJ43" t="s">
        <v>90</v>
      </c>
      <c r="BK43" t="s">
        <v>90</v>
      </c>
      <c r="BL43" t="s">
        <v>90</v>
      </c>
      <c r="BM43" t="s">
        <v>90</v>
      </c>
      <c r="BN43" t="s">
        <v>90</v>
      </c>
      <c r="BO43" t="s">
        <v>92</v>
      </c>
      <c r="BP43" t="s">
        <v>90</v>
      </c>
      <c r="BQ43" t="s">
        <v>90</v>
      </c>
    </row>
    <row r="44" spans="1:71" ht="15" customHeight="1" x14ac:dyDescent="0.25">
      <c r="A44" s="2" t="s">
        <v>469</v>
      </c>
      <c r="B44" s="2" t="s">
        <v>470</v>
      </c>
      <c r="C44" s="2" t="s">
        <v>73</v>
      </c>
      <c r="D44" s="13" t="s">
        <v>471</v>
      </c>
      <c r="E44" s="2" t="s">
        <v>103</v>
      </c>
      <c r="F44" s="2"/>
      <c r="G44" s="2" t="s">
        <v>463</v>
      </c>
      <c r="H44" s="2" t="s">
        <v>472</v>
      </c>
      <c r="I44" t="s">
        <v>200</v>
      </c>
      <c r="J44" t="s">
        <v>79</v>
      </c>
      <c r="K44" t="s">
        <v>80</v>
      </c>
      <c r="L44" s="2" t="s">
        <v>473</v>
      </c>
      <c r="M44" s="2" t="s">
        <v>474</v>
      </c>
      <c r="N44" t="s">
        <v>83</v>
      </c>
      <c r="O44" s="2" t="s">
        <v>84</v>
      </c>
      <c r="P44" s="2" t="s">
        <v>85</v>
      </c>
      <c r="Q44" s="2"/>
      <c r="R44" s="2"/>
      <c r="T44">
        <v>1</v>
      </c>
      <c r="U44">
        <v>2</v>
      </c>
      <c r="V44" t="s">
        <v>110</v>
      </c>
      <c r="W44" t="s">
        <v>88</v>
      </c>
      <c r="X44" t="s">
        <v>89</v>
      </c>
      <c r="Y44" t="s">
        <v>90</v>
      </c>
      <c r="Z44" t="s">
        <v>475</v>
      </c>
      <c r="AA44" t="s">
        <v>92</v>
      </c>
      <c r="AB44" t="s">
        <v>476</v>
      </c>
      <c r="AC44" s="1">
        <v>1.70364E+18</v>
      </c>
      <c r="AD44" t="s">
        <v>90</v>
      </c>
      <c r="AE44" t="s">
        <v>90</v>
      </c>
      <c r="AF44" t="s">
        <v>94</v>
      </c>
      <c r="AG44" t="s">
        <v>90</v>
      </c>
      <c r="AH44" t="s">
        <v>477</v>
      </c>
      <c r="AI44" t="s">
        <v>96</v>
      </c>
      <c r="AJ44" t="s">
        <v>92</v>
      </c>
      <c r="AK44" t="s">
        <v>92</v>
      </c>
      <c r="AL44" t="s">
        <v>97</v>
      </c>
      <c r="AM44" t="s">
        <v>90</v>
      </c>
      <c r="AN44" t="s">
        <v>90</v>
      </c>
      <c r="AO44" t="s">
        <v>90</v>
      </c>
      <c r="AP44" t="s">
        <v>90</v>
      </c>
      <c r="AQ44" t="s">
        <v>90</v>
      </c>
      <c r="AR44" t="s">
        <v>90</v>
      </c>
      <c r="AS44" t="s">
        <v>90</v>
      </c>
      <c r="AT44" t="s">
        <v>90</v>
      </c>
      <c r="AU44" t="s">
        <v>90</v>
      </c>
      <c r="AV44" t="s">
        <v>90</v>
      </c>
      <c r="AW44" t="s">
        <v>90</v>
      </c>
      <c r="AX44" t="s">
        <v>90</v>
      </c>
      <c r="AY44" t="s">
        <v>90</v>
      </c>
      <c r="AZ44" t="s">
        <v>90</v>
      </c>
      <c r="BA44" t="s">
        <v>90</v>
      </c>
      <c r="BB44" t="s">
        <v>90</v>
      </c>
      <c r="BC44" t="s">
        <v>90</v>
      </c>
      <c r="BD44" t="s">
        <v>90</v>
      </c>
      <c r="BE44" t="s">
        <v>90</v>
      </c>
      <c r="BF44" t="s">
        <v>90</v>
      </c>
      <c r="BG44" t="s">
        <v>90</v>
      </c>
      <c r="BH44" t="s">
        <v>90</v>
      </c>
      <c r="BI44" t="s">
        <v>90</v>
      </c>
      <c r="BJ44" t="s">
        <v>90</v>
      </c>
      <c r="BK44" t="s">
        <v>90</v>
      </c>
      <c r="BL44" t="s">
        <v>90</v>
      </c>
      <c r="BM44" t="s">
        <v>90</v>
      </c>
      <c r="BN44" t="s">
        <v>90</v>
      </c>
      <c r="BO44" t="s">
        <v>92</v>
      </c>
      <c r="BP44" t="s">
        <v>90</v>
      </c>
      <c r="BQ44" t="s">
        <v>90</v>
      </c>
      <c r="BR44" s="2"/>
      <c r="BS44" t="s">
        <v>478</v>
      </c>
    </row>
    <row r="45" spans="1:71" ht="15" customHeight="1" x14ac:dyDescent="0.25">
      <c r="A45" s="5" t="s">
        <v>479</v>
      </c>
      <c r="B45" s="5" t="s">
        <v>480</v>
      </c>
      <c r="C45" s="5" t="s">
        <v>417</v>
      </c>
      <c r="D45" s="12" t="s">
        <v>481</v>
      </c>
      <c r="E45" s="5" t="s">
        <v>103</v>
      </c>
      <c r="F45" s="5"/>
      <c r="G45" s="5" t="s">
        <v>463</v>
      </c>
      <c r="H45" s="5" t="s">
        <v>472</v>
      </c>
      <c r="I45" t="s">
        <v>200</v>
      </c>
      <c r="J45" t="s">
        <v>79</v>
      </c>
      <c r="K45" t="s">
        <v>80</v>
      </c>
      <c r="L45" s="5" t="s">
        <v>482</v>
      </c>
      <c r="M45" s="5" t="s">
        <v>483</v>
      </c>
      <c r="N45" t="s">
        <v>83</v>
      </c>
      <c r="O45" s="5" t="s">
        <v>84</v>
      </c>
      <c r="P45" s="5" t="s">
        <v>85</v>
      </c>
      <c r="Q45" s="5"/>
      <c r="R45" s="5"/>
      <c r="T45">
        <v>1</v>
      </c>
      <c r="U45">
        <v>2</v>
      </c>
      <c r="V45" t="s">
        <v>110</v>
      </c>
      <c r="W45" t="s">
        <v>88</v>
      </c>
      <c r="X45" t="s">
        <v>89</v>
      </c>
      <c r="Y45" t="s">
        <v>90</v>
      </c>
      <c r="Z45" t="s">
        <v>484</v>
      </c>
      <c r="AA45" t="s">
        <v>92</v>
      </c>
      <c r="AB45" t="s">
        <v>485</v>
      </c>
      <c r="AC45" s="1">
        <v>1.70272E+18</v>
      </c>
      <c r="AD45" t="s">
        <v>90</v>
      </c>
      <c r="AE45" t="s">
        <v>90</v>
      </c>
      <c r="AF45" t="s">
        <v>94</v>
      </c>
      <c r="AG45" t="s">
        <v>90</v>
      </c>
      <c r="AH45" t="s">
        <v>486</v>
      </c>
      <c r="AI45" t="s">
        <v>96</v>
      </c>
      <c r="AJ45" t="s">
        <v>92</v>
      </c>
      <c r="AK45" t="s">
        <v>92</v>
      </c>
      <c r="AL45" t="s">
        <v>97</v>
      </c>
      <c r="AM45" t="s">
        <v>90</v>
      </c>
      <c r="AN45" t="s">
        <v>90</v>
      </c>
      <c r="AO45" t="s">
        <v>90</v>
      </c>
      <c r="AP45" t="s">
        <v>90</v>
      </c>
      <c r="AQ45" t="s">
        <v>90</v>
      </c>
      <c r="AR45" t="s">
        <v>90</v>
      </c>
      <c r="AS45" t="s">
        <v>90</v>
      </c>
      <c r="AT45" t="s">
        <v>90</v>
      </c>
      <c r="AU45" t="s">
        <v>90</v>
      </c>
      <c r="AV45" t="s">
        <v>90</v>
      </c>
      <c r="AW45" t="s">
        <v>90</v>
      </c>
      <c r="AX45" t="s">
        <v>90</v>
      </c>
      <c r="AY45" t="s">
        <v>90</v>
      </c>
      <c r="AZ45" t="s">
        <v>90</v>
      </c>
      <c r="BA45" t="s">
        <v>90</v>
      </c>
      <c r="BB45" t="s">
        <v>90</v>
      </c>
      <c r="BC45" t="s">
        <v>90</v>
      </c>
      <c r="BD45" t="s">
        <v>90</v>
      </c>
      <c r="BE45" t="s">
        <v>90</v>
      </c>
      <c r="BF45" t="s">
        <v>90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  <c r="BL45" t="s">
        <v>90</v>
      </c>
      <c r="BM45" t="s">
        <v>90</v>
      </c>
      <c r="BN45" t="s">
        <v>90</v>
      </c>
      <c r="BO45" t="s">
        <v>92</v>
      </c>
      <c r="BP45" t="s">
        <v>90</v>
      </c>
      <c r="BQ45" t="s">
        <v>90</v>
      </c>
      <c r="BR45" s="5"/>
    </row>
    <row r="46" spans="1:71" ht="15" customHeight="1" x14ac:dyDescent="0.25">
      <c r="A46" s="5" t="s">
        <v>487</v>
      </c>
      <c r="B46" s="5" t="s">
        <v>488</v>
      </c>
      <c r="C46" s="5" t="s">
        <v>73</v>
      </c>
      <c r="D46" s="12" t="s">
        <v>489</v>
      </c>
      <c r="E46" s="5" t="s">
        <v>103</v>
      </c>
      <c r="F46" s="5"/>
      <c r="G46" s="5" t="s">
        <v>463</v>
      </c>
      <c r="H46" s="5" t="s">
        <v>472</v>
      </c>
      <c r="I46" t="s">
        <v>200</v>
      </c>
      <c r="J46" t="s">
        <v>79</v>
      </c>
      <c r="K46" t="s">
        <v>80</v>
      </c>
      <c r="L46" s="5" t="s">
        <v>490</v>
      </c>
      <c r="M46" s="5" t="s">
        <v>491</v>
      </c>
      <c r="N46" t="s">
        <v>83</v>
      </c>
      <c r="O46" s="5" t="s">
        <v>84</v>
      </c>
      <c r="P46" s="5" t="s">
        <v>85</v>
      </c>
      <c r="Q46" s="5"/>
      <c r="R46" s="5"/>
      <c r="T46">
        <v>1</v>
      </c>
      <c r="U46">
        <v>2</v>
      </c>
      <c r="V46" t="s">
        <v>110</v>
      </c>
      <c r="W46" t="s">
        <v>88</v>
      </c>
      <c r="X46" t="s">
        <v>89</v>
      </c>
      <c r="Y46" t="s">
        <v>90</v>
      </c>
      <c r="Z46" t="s">
        <v>492</v>
      </c>
      <c r="AA46" t="s">
        <v>92</v>
      </c>
      <c r="AB46" t="s">
        <v>493</v>
      </c>
      <c r="AC46" s="1">
        <v>1.70225E+18</v>
      </c>
      <c r="AD46" t="s">
        <v>90</v>
      </c>
      <c r="AE46" t="s">
        <v>90</v>
      </c>
      <c r="AF46" t="s">
        <v>94</v>
      </c>
      <c r="AG46" t="s">
        <v>90</v>
      </c>
      <c r="AH46" t="s">
        <v>494</v>
      </c>
      <c r="AI46" t="s">
        <v>96</v>
      </c>
      <c r="AJ46" t="s">
        <v>92</v>
      </c>
      <c r="AK46" t="s">
        <v>92</v>
      </c>
      <c r="AL46" t="s">
        <v>97</v>
      </c>
      <c r="AM46" t="s">
        <v>90</v>
      </c>
      <c r="AN46" t="s">
        <v>90</v>
      </c>
      <c r="AO46" t="s">
        <v>90</v>
      </c>
      <c r="AP46" t="s">
        <v>90</v>
      </c>
      <c r="AQ46" t="s">
        <v>90</v>
      </c>
      <c r="AR46" t="s">
        <v>90</v>
      </c>
      <c r="AS46" t="s">
        <v>90</v>
      </c>
      <c r="AT46" t="s">
        <v>90</v>
      </c>
      <c r="AU46" t="s">
        <v>90</v>
      </c>
      <c r="AV46" t="s">
        <v>90</v>
      </c>
      <c r="AW46" t="s">
        <v>90</v>
      </c>
      <c r="AX46" t="s">
        <v>90</v>
      </c>
      <c r="AY46" t="s">
        <v>90</v>
      </c>
      <c r="AZ46" t="s">
        <v>90</v>
      </c>
      <c r="BA46" t="s">
        <v>90</v>
      </c>
      <c r="BB46" t="s">
        <v>90</v>
      </c>
      <c r="BC46" t="s">
        <v>90</v>
      </c>
      <c r="BD46" t="s">
        <v>90</v>
      </c>
      <c r="BE46" t="s">
        <v>90</v>
      </c>
      <c r="BF46" t="s">
        <v>90</v>
      </c>
      <c r="BG46" t="s">
        <v>90</v>
      </c>
      <c r="BH46" t="s">
        <v>90</v>
      </c>
      <c r="BI46" t="s">
        <v>90</v>
      </c>
      <c r="BJ46" t="s">
        <v>90</v>
      </c>
      <c r="BK46" t="s">
        <v>90</v>
      </c>
      <c r="BL46" t="s">
        <v>90</v>
      </c>
      <c r="BM46" t="s">
        <v>90</v>
      </c>
      <c r="BN46" t="s">
        <v>90</v>
      </c>
      <c r="BO46" t="s">
        <v>92</v>
      </c>
      <c r="BP46" t="s">
        <v>90</v>
      </c>
      <c r="BQ46" t="s">
        <v>90</v>
      </c>
      <c r="BR46" s="5"/>
    </row>
    <row r="47" spans="1:71" ht="15" customHeight="1" x14ac:dyDescent="0.25">
      <c r="A47" t="s">
        <v>495</v>
      </c>
      <c r="B47" t="s">
        <v>496</v>
      </c>
      <c r="C47" t="s">
        <v>101</v>
      </c>
      <c r="D47" s="10" t="s">
        <v>497</v>
      </c>
      <c r="E47" t="s">
        <v>103</v>
      </c>
      <c r="G47" t="s">
        <v>463</v>
      </c>
      <c r="H47" t="s">
        <v>472</v>
      </c>
      <c r="I47" t="s">
        <v>200</v>
      </c>
      <c r="J47" t="s">
        <v>498</v>
      </c>
      <c r="K47" t="s">
        <v>80</v>
      </c>
      <c r="L47" t="s">
        <v>499</v>
      </c>
      <c r="M47" t="s">
        <v>500</v>
      </c>
      <c r="N47" t="s">
        <v>83</v>
      </c>
      <c r="O47" t="s">
        <v>84</v>
      </c>
      <c r="P47" t="s">
        <v>85</v>
      </c>
    </row>
    <row r="48" spans="1:71" ht="15" customHeight="1" x14ac:dyDescent="0.25">
      <c r="A48" s="2" t="s">
        <v>501</v>
      </c>
      <c r="B48" s="2" t="s">
        <v>502</v>
      </c>
      <c r="C48" s="2" t="s">
        <v>73</v>
      </c>
      <c r="D48" s="13" t="s">
        <v>503</v>
      </c>
      <c r="E48" s="2" t="s">
        <v>103</v>
      </c>
      <c r="F48" s="2"/>
      <c r="G48" s="2" t="s">
        <v>504</v>
      </c>
      <c r="H48" s="2" t="s">
        <v>472</v>
      </c>
      <c r="I48" t="s">
        <v>200</v>
      </c>
      <c r="J48" t="s">
        <v>79</v>
      </c>
      <c r="K48" t="s">
        <v>80</v>
      </c>
      <c r="L48" s="2" t="s">
        <v>505</v>
      </c>
      <c r="M48" s="2" t="s">
        <v>506</v>
      </c>
      <c r="N48" t="s">
        <v>83</v>
      </c>
      <c r="O48" s="2" t="s">
        <v>84</v>
      </c>
      <c r="P48" s="2" t="s">
        <v>85</v>
      </c>
      <c r="Q48" s="2"/>
      <c r="R48" s="2"/>
      <c r="T48">
        <v>1</v>
      </c>
      <c r="U48">
        <v>2</v>
      </c>
      <c r="V48" t="s">
        <v>110</v>
      </c>
      <c r="W48" t="s">
        <v>88</v>
      </c>
      <c r="X48" t="s">
        <v>89</v>
      </c>
      <c r="Y48" t="s">
        <v>90</v>
      </c>
      <c r="Z48" t="s">
        <v>507</v>
      </c>
      <c r="AA48" t="s">
        <v>92</v>
      </c>
      <c r="AB48" t="s">
        <v>508</v>
      </c>
      <c r="AC48" s="1">
        <v>1.70364E+18</v>
      </c>
      <c r="AD48" t="s">
        <v>90</v>
      </c>
      <c r="AE48" t="s">
        <v>90</v>
      </c>
      <c r="AF48" t="s">
        <v>94</v>
      </c>
      <c r="AG48" t="s">
        <v>90</v>
      </c>
      <c r="AH48" t="s">
        <v>509</v>
      </c>
      <c r="AI48" t="s">
        <v>96</v>
      </c>
      <c r="AJ48" t="s">
        <v>92</v>
      </c>
      <c r="AK48" t="s">
        <v>92</v>
      </c>
      <c r="AL48" t="s">
        <v>97</v>
      </c>
      <c r="AM48" t="s">
        <v>90</v>
      </c>
      <c r="AN48" t="s">
        <v>90</v>
      </c>
      <c r="AO48" t="s">
        <v>90</v>
      </c>
      <c r="AP48" t="s">
        <v>90</v>
      </c>
      <c r="AQ48" t="s">
        <v>90</v>
      </c>
      <c r="AR48" t="s">
        <v>90</v>
      </c>
      <c r="AS48" t="s">
        <v>90</v>
      </c>
      <c r="AT48" t="s">
        <v>90</v>
      </c>
      <c r="AU48" t="s">
        <v>90</v>
      </c>
      <c r="AV48" t="s">
        <v>90</v>
      </c>
      <c r="AW48" t="s">
        <v>90</v>
      </c>
      <c r="AX48" t="s">
        <v>90</v>
      </c>
      <c r="AY48" t="s">
        <v>90</v>
      </c>
      <c r="AZ48" t="s">
        <v>90</v>
      </c>
      <c r="BA48" t="s">
        <v>90</v>
      </c>
      <c r="BB48" t="s">
        <v>90</v>
      </c>
      <c r="BC48" t="s">
        <v>90</v>
      </c>
      <c r="BD48" t="s">
        <v>90</v>
      </c>
      <c r="BE48" t="s">
        <v>90</v>
      </c>
      <c r="BF48" t="s">
        <v>90</v>
      </c>
      <c r="BG48" t="s">
        <v>90</v>
      </c>
      <c r="BH48" t="s">
        <v>90</v>
      </c>
      <c r="BI48" t="s">
        <v>90</v>
      </c>
      <c r="BJ48" t="s">
        <v>90</v>
      </c>
      <c r="BK48" t="s">
        <v>90</v>
      </c>
      <c r="BL48" t="s">
        <v>90</v>
      </c>
      <c r="BM48" t="s">
        <v>90</v>
      </c>
      <c r="BN48" t="s">
        <v>90</v>
      </c>
      <c r="BO48" t="s">
        <v>92</v>
      </c>
      <c r="BP48" t="s">
        <v>90</v>
      </c>
      <c r="BQ48" t="s">
        <v>90</v>
      </c>
      <c r="BR48" s="2"/>
      <c r="BS48" t="s">
        <v>478</v>
      </c>
    </row>
    <row r="49" spans="1:72" ht="15" customHeight="1" x14ac:dyDescent="0.25">
      <c r="A49" s="15" t="s">
        <v>510</v>
      </c>
      <c r="B49" s="15" t="s">
        <v>511</v>
      </c>
      <c r="C49" t="s">
        <v>101</v>
      </c>
      <c r="D49" t="s">
        <v>512</v>
      </c>
      <c r="E49" t="s">
        <v>103</v>
      </c>
      <c r="G49" t="s">
        <v>513</v>
      </c>
      <c r="H49" s="15" t="s">
        <v>472</v>
      </c>
      <c r="Q49" t="s">
        <v>514</v>
      </c>
      <c r="BT49" t="s">
        <v>515</v>
      </c>
    </row>
    <row r="50" spans="1:72" ht="15" customHeight="1" x14ac:dyDescent="0.25">
      <c r="A50" t="s">
        <v>516</v>
      </c>
      <c r="B50" t="s">
        <v>517</v>
      </c>
      <c r="C50" t="s">
        <v>101</v>
      </c>
      <c r="D50" t="s">
        <v>812</v>
      </c>
      <c r="E50" t="s">
        <v>103</v>
      </c>
      <c r="G50" t="s">
        <v>504</v>
      </c>
      <c r="H50" t="s">
        <v>472</v>
      </c>
      <c r="I50" t="s">
        <v>200</v>
      </c>
      <c r="J50" t="s">
        <v>79</v>
      </c>
      <c r="K50" t="s">
        <v>80</v>
      </c>
      <c r="L50" t="s">
        <v>518</v>
      </c>
      <c r="M50" t="s">
        <v>519</v>
      </c>
      <c r="N50" t="s">
        <v>83</v>
      </c>
      <c r="O50" t="s">
        <v>84</v>
      </c>
      <c r="P50" t="s">
        <v>85</v>
      </c>
      <c r="T50">
        <v>1</v>
      </c>
      <c r="U50">
        <v>2</v>
      </c>
      <c r="V50" t="s">
        <v>110</v>
      </c>
      <c r="W50" t="s">
        <v>88</v>
      </c>
      <c r="X50" t="s">
        <v>89</v>
      </c>
      <c r="Y50" t="s">
        <v>90</v>
      </c>
      <c r="Z50" t="s">
        <v>520</v>
      </c>
      <c r="AA50" t="s">
        <v>92</v>
      </c>
      <c r="AB50" t="s">
        <v>521</v>
      </c>
      <c r="AC50" s="1">
        <v>1.70281E+18</v>
      </c>
      <c r="AD50" t="s">
        <v>90</v>
      </c>
      <c r="AE50" t="s">
        <v>90</v>
      </c>
      <c r="AF50" t="s">
        <v>94</v>
      </c>
      <c r="AG50" t="s">
        <v>90</v>
      </c>
      <c r="AH50" t="s">
        <v>522</v>
      </c>
      <c r="AI50" t="s">
        <v>96</v>
      </c>
      <c r="AJ50" t="s">
        <v>92</v>
      </c>
      <c r="AK50" t="s">
        <v>92</v>
      </c>
      <c r="AL50" t="s">
        <v>97</v>
      </c>
      <c r="AM50" t="s">
        <v>90</v>
      </c>
      <c r="AN50" t="s">
        <v>90</v>
      </c>
      <c r="AO50" t="s">
        <v>90</v>
      </c>
      <c r="AP50" t="s">
        <v>90</v>
      </c>
      <c r="AQ50" t="s">
        <v>90</v>
      </c>
      <c r="AR50" t="s">
        <v>90</v>
      </c>
      <c r="AS50" t="s">
        <v>90</v>
      </c>
      <c r="AT50" t="s">
        <v>90</v>
      </c>
      <c r="AU50" t="s">
        <v>90</v>
      </c>
      <c r="AV50" t="s">
        <v>90</v>
      </c>
      <c r="AW50" t="s">
        <v>90</v>
      </c>
      <c r="AX50" t="s">
        <v>90</v>
      </c>
      <c r="AY50" t="s">
        <v>90</v>
      </c>
      <c r="AZ50" t="s">
        <v>90</v>
      </c>
      <c r="BA50" t="s">
        <v>90</v>
      </c>
      <c r="BB50" t="s">
        <v>90</v>
      </c>
      <c r="BC50" t="s">
        <v>90</v>
      </c>
      <c r="BD50" t="s">
        <v>90</v>
      </c>
      <c r="BE50" t="s">
        <v>90</v>
      </c>
      <c r="BF50" t="s">
        <v>90</v>
      </c>
      <c r="BG50" t="s">
        <v>90</v>
      </c>
      <c r="BH50" t="s">
        <v>90</v>
      </c>
      <c r="BI50" t="s">
        <v>90</v>
      </c>
      <c r="BJ50" t="s">
        <v>90</v>
      </c>
      <c r="BK50" t="s">
        <v>90</v>
      </c>
      <c r="BL50" t="s">
        <v>90</v>
      </c>
      <c r="BM50" t="s">
        <v>90</v>
      </c>
      <c r="BN50" t="s">
        <v>90</v>
      </c>
      <c r="BO50" t="s">
        <v>92</v>
      </c>
      <c r="BP50" t="s">
        <v>90</v>
      </c>
      <c r="BQ50" t="s">
        <v>90</v>
      </c>
    </row>
    <row r="51" spans="1:72" ht="15" customHeight="1" x14ac:dyDescent="0.25">
      <c r="A51" s="5" t="s">
        <v>523</v>
      </c>
      <c r="B51" s="5" t="s">
        <v>524</v>
      </c>
      <c r="C51" s="5" t="s">
        <v>73</v>
      </c>
      <c r="D51" s="5" t="s">
        <v>525</v>
      </c>
      <c r="E51" s="5" t="s">
        <v>103</v>
      </c>
      <c r="F51" s="5"/>
      <c r="G51" s="5" t="s">
        <v>504</v>
      </c>
      <c r="H51" s="5" t="s">
        <v>472</v>
      </c>
      <c r="I51" t="s">
        <v>200</v>
      </c>
      <c r="J51" t="s">
        <v>526</v>
      </c>
      <c r="K51" t="s">
        <v>80</v>
      </c>
      <c r="L51" s="5" t="s">
        <v>527</v>
      </c>
      <c r="M51" s="5" t="s">
        <v>528</v>
      </c>
      <c r="N51" t="s">
        <v>83</v>
      </c>
      <c r="O51" s="5" t="s">
        <v>84</v>
      </c>
      <c r="P51" s="5" t="s">
        <v>159</v>
      </c>
      <c r="Q51" s="5"/>
      <c r="R51" s="5"/>
      <c r="T51">
        <v>1</v>
      </c>
      <c r="U51">
        <v>2</v>
      </c>
      <c r="V51" t="s">
        <v>110</v>
      </c>
      <c r="W51" t="s">
        <v>88</v>
      </c>
      <c r="X51" t="s">
        <v>89</v>
      </c>
      <c r="Y51" t="s">
        <v>90</v>
      </c>
      <c r="Z51" t="s">
        <v>529</v>
      </c>
      <c r="AA51" t="s">
        <v>92</v>
      </c>
      <c r="AB51" t="s">
        <v>530</v>
      </c>
      <c r="AC51" s="1">
        <v>1.70361E+18</v>
      </c>
      <c r="AD51" t="s">
        <v>90</v>
      </c>
      <c r="AE51" t="s">
        <v>90</v>
      </c>
      <c r="AF51" t="s">
        <v>94</v>
      </c>
      <c r="AG51" t="s">
        <v>90</v>
      </c>
      <c r="AH51" t="s">
        <v>531</v>
      </c>
      <c r="AI51" t="s">
        <v>96</v>
      </c>
      <c r="AJ51" t="s">
        <v>92</v>
      </c>
      <c r="AK51" t="s">
        <v>92</v>
      </c>
      <c r="AL51" t="s">
        <v>97</v>
      </c>
      <c r="AM51" t="s">
        <v>90</v>
      </c>
      <c r="AN51" t="s">
        <v>90</v>
      </c>
      <c r="AO51" t="s">
        <v>90</v>
      </c>
      <c r="AP51" t="s">
        <v>90</v>
      </c>
      <c r="AQ51" t="s">
        <v>90</v>
      </c>
      <c r="AR51" t="s">
        <v>90</v>
      </c>
      <c r="AS51" t="s">
        <v>90</v>
      </c>
      <c r="AT51" t="s">
        <v>90</v>
      </c>
      <c r="AU51" t="s">
        <v>90</v>
      </c>
      <c r="AV51" t="s">
        <v>90</v>
      </c>
      <c r="AW51" t="s">
        <v>90</v>
      </c>
      <c r="AX51" t="s">
        <v>90</v>
      </c>
      <c r="AY51" t="s">
        <v>90</v>
      </c>
      <c r="AZ51" t="s">
        <v>90</v>
      </c>
      <c r="BA51" t="s">
        <v>90</v>
      </c>
      <c r="BB51" t="s">
        <v>90</v>
      </c>
      <c r="BC51" t="s">
        <v>90</v>
      </c>
      <c r="BD51" t="s">
        <v>90</v>
      </c>
      <c r="BE51" t="s">
        <v>90</v>
      </c>
      <c r="BF51" t="s">
        <v>90</v>
      </c>
      <c r="BG51" t="s">
        <v>90</v>
      </c>
      <c r="BH51" t="s">
        <v>90</v>
      </c>
      <c r="BI51" t="s">
        <v>90</v>
      </c>
      <c r="BJ51" t="s">
        <v>90</v>
      </c>
      <c r="BK51" t="s">
        <v>90</v>
      </c>
      <c r="BL51" t="s">
        <v>90</v>
      </c>
      <c r="BM51" t="s">
        <v>90</v>
      </c>
      <c r="BN51" t="s">
        <v>90</v>
      </c>
      <c r="BO51" t="s">
        <v>92</v>
      </c>
      <c r="BP51" t="s">
        <v>90</v>
      </c>
      <c r="BQ51" t="s">
        <v>90</v>
      </c>
      <c r="BR51" s="5"/>
    </row>
    <row r="52" spans="1:72" ht="15" customHeight="1" x14ac:dyDescent="0.25">
      <c r="A52" t="s">
        <v>532</v>
      </c>
      <c r="B52" t="s">
        <v>235</v>
      </c>
      <c r="C52" t="s">
        <v>101</v>
      </c>
      <c r="D52" s="10" t="s">
        <v>130</v>
      </c>
      <c r="E52" t="s">
        <v>75</v>
      </c>
      <c r="G52" t="s">
        <v>428</v>
      </c>
      <c r="H52" t="s">
        <v>429</v>
      </c>
      <c r="I52" t="s">
        <v>78</v>
      </c>
      <c r="J52" t="s">
        <v>79</v>
      </c>
      <c r="K52" t="s">
        <v>80</v>
      </c>
      <c r="L52" t="s">
        <v>533</v>
      </c>
      <c r="M52" t="s">
        <v>534</v>
      </c>
      <c r="N52" t="s">
        <v>83</v>
      </c>
      <c r="O52" t="s">
        <v>84</v>
      </c>
      <c r="P52" t="s">
        <v>85</v>
      </c>
      <c r="R52" t="s">
        <v>535</v>
      </c>
      <c r="S52" t="s">
        <v>147</v>
      </c>
      <c r="T52">
        <v>1</v>
      </c>
      <c r="U52">
        <v>2</v>
      </c>
      <c r="V52" t="s">
        <v>87</v>
      </c>
      <c r="W52" t="s">
        <v>88</v>
      </c>
      <c r="X52" t="s">
        <v>89</v>
      </c>
      <c r="Y52" t="s">
        <v>90</v>
      </c>
      <c r="Z52" t="s">
        <v>536</v>
      </c>
      <c r="AA52" t="s">
        <v>92</v>
      </c>
      <c r="AB52" t="s">
        <v>537</v>
      </c>
      <c r="AC52" s="1">
        <v>1.70573E+18</v>
      </c>
      <c r="AD52" t="s">
        <v>90</v>
      </c>
      <c r="AE52" t="s">
        <v>90</v>
      </c>
      <c r="AF52" t="s">
        <v>94</v>
      </c>
      <c r="AG52" t="s">
        <v>90</v>
      </c>
      <c r="AH52" t="s">
        <v>538</v>
      </c>
      <c r="AI52" t="s">
        <v>96</v>
      </c>
      <c r="AJ52" t="s">
        <v>92</v>
      </c>
      <c r="AK52" t="s">
        <v>92</v>
      </c>
      <c r="AL52" t="s">
        <v>97</v>
      </c>
      <c r="AM52" t="s">
        <v>90</v>
      </c>
      <c r="AN52" t="s">
        <v>90</v>
      </c>
      <c r="AO52" t="s">
        <v>90</v>
      </c>
      <c r="AP52" t="s">
        <v>90</v>
      </c>
      <c r="AQ52" t="s">
        <v>90</v>
      </c>
      <c r="AR52" t="s">
        <v>90</v>
      </c>
      <c r="AS52" t="s">
        <v>90</v>
      </c>
      <c r="AT52" t="s">
        <v>90</v>
      </c>
      <c r="AU52" t="s">
        <v>90</v>
      </c>
      <c r="AV52" t="s">
        <v>90</v>
      </c>
      <c r="AW52" t="s">
        <v>90</v>
      </c>
      <c r="AX52" t="s">
        <v>90</v>
      </c>
      <c r="AY52" t="s">
        <v>90</v>
      </c>
      <c r="AZ52" t="s">
        <v>90</v>
      </c>
      <c r="BA52" t="s">
        <v>90</v>
      </c>
      <c r="BB52" t="s">
        <v>90</v>
      </c>
      <c r="BC52" t="s">
        <v>90</v>
      </c>
      <c r="BD52" t="s">
        <v>90</v>
      </c>
      <c r="BE52" t="s">
        <v>90</v>
      </c>
      <c r="BF52" t="s">
        <v>90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90</v>
      </c>
      <c r="BM52" t="s">
        <v>90</v>
      </c>
      <c r="BN52" t="s">
        <v>90</v>
      </c>
      <c r="BO52" t="s">
        <v>92</v>
      </c>
      <c r="BP52" t="s">
        <v>90</v>
      </c>
      <c r="BQ52" t="s">
        <v>90</v>
      </c>
      <c r="BR52" t="s">
        <v>163</v>
      </c>
    </row>
    <row r="53" spans="1:72" ht="15" customHeight="1" x14ac:dyDescent="0.25">
      <c r="A53" s="4" t="s">
        <v>539</v>
      </c>
      <c r="B53" s="4" t="s">
        <v>540</v>
      </c>
      <c r="C53" s="4" t="s">
        <v>73</v>
      </c>
      <c r="D53" s="11" t="s">
        <v>279</v>
      </c>
      <c r="E53" s="4" t="s">
        <v>103</v>
      </c>
      <c r="F53" s="4"/>
      <c r="G53" s="4" t="s">
        <v>504</v>
      </c>
      <c r="H53" s="4" t="s">
        <v>472</v>
      </c>
      <c r="I53" t="s">
        <v>200</v>
      </c>
      <c r="J53" t="s">
        <v>79</v>
      </c>
      <c r="K53" t="s">
        <v>80</v>
      </c>
      <c r="L53" s="4" t="s">
        <v>541</v>
      </c>
      <c r="M53" s="4" t="s">
        <v>542</v>
      </c>
      <c r="N53" t="s">
        <v>83</v>
      </c>
      <c r="O53" s="4" t="s">
        <v>84</v>
      </c>
      <c r="P53" s="4" t="s">
        <v>85</v>
      </c>
      <c r="Q53" s="4"/>
      <c r="R53" s="4"/>
      <c r="T53">
        <v>1</v>
      </c>
      <c r="U53">
        <v>2</v>
      </c>
      <c r="V53" t="s">
        <v>87</v>
      </c>
      <c r="W53" t="s">
        <v>88</v>
      </c>
      <c r="X53" t="s">
        <v>89</v>
      </c>
      <c r="Y53" t="s">
        <v>543</v>
      </c>
      <c r="Z53" t="s">
        <v>544</v>
      </c>
      <c r="AA53" t="s">
        <v>92</v>
      </c>
      <c r="AB53" t="s">
        <v>545</v>
      </c>
      <c r="AC53" s="1">
        <v>1.70281E+18</v>
      </c>
      <c r="AD53" t="s">
        <v>90</v>
      </c>
      <c r="AE53" t="s">
        <v>90</v>
      </c>
      <c r="AF53" t="s">
        <v>94</v>
      </c>
      <c r="AG53" t="s">
        <v>90</v>
      </c>
      <c r="AH53" t="s">
        <v>546</v>
      </c>
      <c r="AI53" t="s">
        <v>96</v>
      </c>
      <c r="AJ53" t="s">
        <v>92</v>
      </c>
      <c r="AK53" t="s">
        <v>92</v>
      </c>
      <c r="AL53" t="s">
        <v>97</v>
      </c>
      <c r="AM53" t="s">
        <v>90</v>
      </c>
      <c r="AN53" t="s">
        <v>90</v>
      </c>
      <c r="AO53" t="s">
        <v>90</v>
      </c>
      <c r="AP53" t="s">
        <v>90</v>
      </c>
      <c r="AQ53" t="s">
        <v>90</v>
      </c>
      <c r="AR53" t="s">
        <v>90</v>
      </c>
      <c r="AS53" t="s">
        <v>90</v>
      </c>
      <c r="AT53" t="s">
        <v>90</v>
      </c>
      <c r="AU53" t="s">
        <v>90</v>
      </c>
      <c r="AV53" t="s">
        <v>90</v>
      </c>
      <c r="AW53" t="s">
        <v>90</v>
      </c>
      <c r="AX53" t="s">
        <v>90</v>
      </c>
      <c r="AY53" t="s">
        <v>90</v>
      </c>
      <c r="AZ53" t="s">
        <v>90</v>
      </c>
      <c r="BA53" t="s">
        <v>90</v>
      </c>
      <c r="BB53" t="s">
        <v>90</v>
      </c>
      <c r="BC53" t="s">
        <v>90</v>
      </c>
      <c r="BD53" t="s">
        <v>90</v>
      </c>
      <c r="BE53" t="s">
        <v>90</v>
      </c>
      <c r="BF53" t="s">
        <v>90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 t="s">
        <v>90</v>
      </c>
      <c r="BM53" t="s">
        <v>90</v>
      </c>
      <c r="BN53" t="s">
        <v>90</v>
      </c>
      <c r="BO53" t="s">
        <v>92</v>
      </c>
      <c r="BP53" t="s">
        <v>90</v>
      </c>
      <c r="BQ53" t="s">
        <v>90</v>
      </c>
      <c r="BR53" s="4"/>
      <c r="BS53" t="s">
        <v>478</v>
      </c>
    </row>
    <row r="54" spans="1:72" ht="15" customHeight="1" x14ac:dyDescent="0.25">
      <c r="A54" t="s">
        <v>547</v>
      </c>
      <c r="B54" t="s">
        <v>548</v>
      </c>
      <c r="C54" t="s">
        <v>73</v>
      </c>
      <c r="D54" s="10" t="s">
        <v>549</v>
      </c>
      <c r="E54" t="s">
        <v>103</v>
      </c>
      <c r="G54" t="s">
        <v>504</v>
      </c>
      <c r="H54" t="s">
        <v>472</v>
      </c>
      <c r="I54" t="s">
        <v>200</v>
      </c>
      <c r="J54" t="s">
        <v>79</v>
      </c>
      <c r="K54" t="s">
        <v>80</v>
      </c>
      <c r="L54" t="s">
        <v>550</v>
      </c>
      <c r="M54" t="s">
        <v>551</v>
      </c>
      <c r="N54" t="s">
        <v>83</v>
      </c>
      <c r="O54" t="s">
        <v>84</v>
      </c>
      <c r="P54" t="s">
        <v>85</v>
      </c>
      <c r="T54">
        <v>1</v>
      </c>
      <c r="U54">
        <v>2</v>
      </c>
      <c r="V54" t="s">
        <v>110</v>
      </c>
      <c r="W54" t="s">
        <v>88</v>
      </c>
      <c r="X54" t="s">
        <v>89</v>
      </c>
      <c r="Y54" t="s">
        <v>552</v>
      </c>
      <c r="Z54" t="s">
        <v>553</v>
      </c>
      <c r="AA54" t="s">
        <v>92</v>
      </c>
      <c r="AB54" t="s">
        <v>554</v>
      </c>
      <c r="AC54" s="1">
        <v>1.70281E+18</v>
      </c>
      <c r="AD54" t="s">
        <v>90</v>
      </c>
      <c r="AE54" t="s">
        <v>90</v>
      </c>
      <c r="AF54" t="s">
        <v>94</v>
      </c>
      <c r="AG54" t="s">
        <v>90</v>
      </c>
      <c r="AH54" t="s">
        <v>555</v>
      </c>
      <c r="AI54" t="s">
        <v>96</v>
      </c>
      <c r="AJ54" t="s">
        <v>92</v>
      </c>
      <c r="AK54" t="s">
        <v>92</v>
      </c>
      <c r="AL54" t="s">
        <v>97</v>
      </c>
      <c r="AM54" t="s">
        <v>90</v>
      </c>
      <c r="AN54" t="s">
        <v>90</v>
      </c>
      <c r="AO54" t="s">
        <v>90</v>
      </c>
      <c r="AP54" t="s">
        <v>90</v>
      </c>
      <c r="AQ54" t="s">
        <v>90</v>
      </c>
      <c r="AR54" t="s">
        <v>90</v>
      </c>
      <c r="AS54" t="s">
        <v>90</v>
      </c>
      <c r="AT54" t="s">
        <v>90</v>
      </c>
      <c r="AU54" t="s">
        <v>90</v>
      </c>
      <c r="AV54" t="s">
        <v>90</v>
      </c>
      <c r="AW54" t="s">
        <v>90</v>
      </c>
      <c r="AX54" t="s">
        <v>90</v>
      </c>
      <c r="AY54" t="s">
        <v>90</v>
      </c>
      <c r="AZ54" t="s">
        <v>90</v>
      </c>
      <c r="BA54" t="s">
        <v>90</v>
      </c>
      <c r="BB54" t="s">
        <v>90</v>
      </c>
      <c r="BC54" t="s">
        <v>90</v>
      </c>
      <c r="BD54" t="s">
        <v>90</v>
      </c>
      <c r="BE54" t="s">
        <v>90</v>
      </c>
      <c r="BF54" t="s">
        <v>90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  <c r="BL54" t="s">
        <v>90</v>
      </c>
      <c r="BM54" t="s">
        <v>90</v>
      </c>
      <c r="BN54" t="s">
        <v>90</v>
      </c>
      <c r="BO54" t="s">
        <v>92</v>
      </c>
      <c r="BP54" t="s">
        <v>90</v>
      </c>
      <c r="BQ54" t="s">
        <v>90</v>
      </c>
    </row>
    <row r="55" spans="1:72" x14ac:dyDescent="0.25">
      <c r="A55" t="s">
        <v>556</v>
      </c>
      <c r="B55" t="s">
        <v>557</v>
      </c>
      <c r="C55" t="s">
        <v>417</v>
      </c>
      <c r="D55" s="10" t="s">
        <v>558</v>
      </c>
      <c r="E55" t="s">
        <v>103</v>
      </c>
      <c r="G55" t="s">
        <v>198</v>
      </c>
      <c r="H55" t="s">
        <v>559</v>
      </c>
      <c r="I55" t="s">
        <v>200</v>
      </c>
      <c r="J55" t="s">
        <v>79</v>
      </c>
      <c r="K55" t="s">
        <v>80</v>
      </c>
      <c r="L55" t="s">
        <v>560</v>
      </c>
      <c r="M55" t="s">
        <v>561</v>
      </c>
      <c r="N55" t="s">
        <v>83</v>
      </c>
      <c r="O55" t="s">
        <v>84</v>
      </c>
      <c r="P55" t="s">
        <v>159</v>
      </c>
      <c r="T55">
        <v>1</v>
      </c>
      <c r="U55">
        <v>4</v>
      </c>
      <c r="V55" t="s">
        <v>110</v>
      </c>
      <c r="W55" t="s">
        <v>88</v>
      </c>
      <c r="X55" t="s">
        <v>89</v>
      </c>
      <c r="Y55" t="s">
        <v>90</v>
      </c>
      <c r="Z55" t="s">
        <v>562</v>
      </c>
      <c r="AA55" t="s">
        <v>92</v>
      </c>
      <c r="AB55" t="s">
        <v>563</v>
      </c>
      <c r="AC55" s="1">
        <v>1.70361E+18</v>
      </c>
      <c r="AD55" t="s">
        <v>90</v>
      </c>
      <c r="AE55" t="s">
        <v>90</v>
      </c>
      <c r="AF55" t="s">
        <v>94</v>
      </c>
      <c r="AG55" t="s">
        <v>90</v>
      </c>
      <c r="AH55" t="s">
        <v>564</v>
      </c>
      <c r="AI55" t="s">
        <v>96</v>
      </c>
      <c r="AJ55" t="s">
        <v>92</v>
      </c>
      <c r="AK55" t="s">
        <v>92</v>
      </c>
      <c r="AL55" t="s">
        <v>97</v>
      </c>
      <c r="AM55" t="s">
        <v>90</v>
      </c>
      <c r="AN55" t="s">
        <v>90</v>
      </c>
      <c r="AO55" t="s">
        <v>90</v>
      </c>
      <c r="AP55" t="s">
        <v>90</v>
      </c>
      <c r="AQ55" t="s">
        <v>90</v>
      </c>
      <c r="AR55" t="s">
        <v>90</v>
      </c>
      <c r="AS55" t="s">
        <v>90</v>
      </c>
      <c r="AT55" t="s">
        <v>90</v>
      </c>
      <c r="AU55" t="s">
        <v>90</v>
      </c>
      <c r="AV55" t="s">
        <v>90</v>
      </c>
      <c r="AW55" t="s">
        <v>90</v>
      </c>
      <c r="AX55" t="s">
        <v>90</v>
      </c>
      <c r="AY55" t="s">
        <v>90</v>
      </c>
      <c r="AZ55" t="s">
        <v>90</v>
      </c>
      <c r="BA55" t="s">
        <v>90</v>
      </c>
      <c r="BB55" t="s">
        <v>90</v>
      </c>
      <c r="BC55" t="s">
        <v>90</v>
      </c>
      <c r="BD55" t="s">
        <v>90</v>
      </c>
      <c r="BE55" t="s">
        <v>90</v>
      </c>
      <c r="BF55" t="s">
        <v>90</v>
      </c>
      <c r="BG55" t="s">
        <v>90</v>
      </c>
      <c r="BH55" t="s">
        <v>90</v>
      </c>
      <c r="BI55" t="s">
        <v>90</v>
      </c>
      <c r="BJ55" t="s">
        <v>90</v>
      </c>
      <c r="BK55" t="s">
        <v>90</v>
      </c>
      <c r="BL55" t="s">
        <v>90</v>
      </c>
      <c r="BM55" t="s">
        <v>90</v>
      </c>
      <c r="BN55" t="s">
        <v>90</v>
      </c>
      <c r="BO55" t="s">
        <v>92</v>
      </c>
      <c r="BP55" t="s">
        <v>90</v>
      </c>
      <c r="BQ55" t="s">
        <v>90</v>
      </c>
    </row>
    <row r="56" spans="1:72" ht="15" customHeight="1" x14ac:dyDescent="0.25">
      <c r="A56" t="s">
        <v>565</v>
      </c>
      <c r="B56" t="s">
        <v>129</v>
      </c>
      <c r="C56" t="s">
        <v>101</v>
      </c>
      <c r="D56" t="s">
        <v>566</v>
      </c>
      <c r="E56" t="s">
        <v>75</v>
      </c>
      <c r="F56" t="s">
        <v>186</v>
      </c>
      <c r="G56" t="s">
        <v>567</v>
      </c>
      <c r="H56" t="s">
        <v>568</v>
      </c>
      <c r="I56" t="s">
        <v>78</v>
      </c>
      <c r="J56" t="s">
        <v>79</v>
      </c>
      <c r="K56" t="s">
        <v>80</v>
      </c>
      <c r="L56" t="s">
        <v>569</v>
      </c>
      <c r="M56" t="s">
        <v>570</v>
      </c>
      <c r="N56" t="s">
        <v>83</v>
      </c>
      <c r="O56" t="s">
        <v>84</v>
      </c>
      <c r="P56" t="s">
        <v>85</v>
      </c>
      <c r="T56">
        <v>1</v>
      </c>
      <c r="U56">
        <v>6</v>
      </c>
      <c r="V56" t="s">
        <v>110</v>
      </c>
      <c r="W56" t="s">
        <v>88</v>
      </c>
      <c r="X56" t="s">
        <v>89</v>
      </c>
      <c r="Y56" t="s">
        <v>90</v>
      </c>
      <c r="Z56" t="s">
        <v>571</v>
      </c>
      <c r="AA56" t="s">
        <v>92</v>
      </c>
      <c r="AB56" t="s">
        <v>572</v>
      </c>
      <c r="AC56" s="1">
        <v>1.69726E+18</v>
      </c>
      <c r="AD56" t="s">
        <v>90</v>
      </c>
      <c r="AE56" t="s">
        <v>90</v>
      </c>
      <c r="AF56" t="s">
        <v>94</v>
      </c>
      <c r="AG56" t="s">
        <v>90</v>
      </c>
      <c r="AH56" t="s">
        <v>573</v>
      </c>
      <c r="AI56" t="s">
        <v>96</v>
      </c>
      <c r="AJ56" t="s">
        <v>92</v>
      </c>
      <c r="AK56" t="s">
        <v>92</v>
      </c>
      <c r="AL56" t="s">
        <v>97</v>
      </c>
      <c r="AM56" t="s">
        <v>90</v>
      </c>
      <c r="AN56" t="s">
        <v>90</v>
      </c>
      <c r="AO56" t="s">
        <v>90</v>
      </c>
      <c r="AP56" t="s">
        <v>90</v>
      </c>
      <c r="AQ56" t="s">
        <v>90</v>
      </c>
      <c r="AR56" t="s">
        <v>90</v>
      </c>
      <c r="AS56" t="s">
        <v>90</v>
      </c>
      <c r="AT56" t="s">
        <v>90</v>
      </c>
      <c r="AU56" t="s">
        <v>90</v>
      </c>
      <c r="AV56" t="s">
        <v>90</v>
      </c>
      <c r="AW56" t="s">
        <v>90</v>
      </c>
      <c r="AX56" t="s">
        <v>90</v>
      </c>
      <c r="AY56" t="s">
        <v>90</v>
      </c>
      <c r="AZ56" t="s">
        <v>90</v>
      </c>
      <c r="BA56" t="s">
        <v>90</v>
      </c>
      <c r="BB56" t="s">
        <v>90</v>
      </c>
      <c r="BC56" t="s">
        <v>90</v>
      </c>
      <c r="BD56" t="s">
        <v>90</v>
      </c>
      <c r="BE56" t="s">
        <v>90</v>
      </c>
      <c r="BF56" t="s">
        <v>90</v>
      </c>
      <c r="BG56" t="s">
        <v>90</v>
      </c>
      <c r="BH56" t="s">
        <v>90</v>
      </c>
      <c r="BI56" t="s">
        <v>90</v>
      </c>
      <c r="BJ56" t="s">
        <v>90</v>
      </c>
      <c r="BK56" t="s">
        <v>90</v>
      </c>
      <c r="BL56" t="s">
        <v>90</v>
      </c>
      <c r="BM56" t="s">
        <v>90</v>
      </c>
      <c r="BN56" t="s">
        <v>90</v>
      </c>
      <c r="BO56" t="s">
        <v>92</v>
      </c>
      <c r="BP56" t="s">
        <v>90</v>
      </c>
      <c r="BQ56" t="s">
        <v>90</v>
      </c>
    </row>
    <row r="57" spans="1:72" ht="15" customHeight="1" x14ac:dyDescent="0.25">
      <c r="A57" t="s">
        <v>574</v>
      </c>
      <c r="B57" t="s">
        <v>575</v>
      </c>
      <c r="C57" t="s">
        <v>101</v>
      </c>
      <c r="D57" t="s">
        <v>427</v>
      </c>
      <c r="E57" t="s">
        <v>75</v>
      </c>
      <c r="G57" t="s">
        <v>350</v>
      </c>
      <c r="H57" t="s">
        <v>351</v>
      </c>
      <c r="I57" t="s">
        <v>78</v>
      </c>
      <c r="J57" t="s">
        <v>79</v>
      </c>
      <c r="K57" t="s">
        <v>80</v>
      </c>
      <c r="L57" t="s">
        <v>576</v>
      </c>
      <c r="M57" t="s">
        <v>577</v>
      </c>
      <c r="N57" t="s">
        <v>83</v>
      </c>
      <c r="O57" t="s">
        <v>84</v>
      </c>
      <c r="P57" t="s">
        <v>85</v>
      </c>
      <c r="S57" t="s">
        <v>147</v>
      </c>
      <c r="T57">
        <v>1</v>
      </c>
      <c r="U57">
        <v>2</v>
      </c>
      <c r="V57" t="s">
        <v>87</v>
      </c>
      <c r="W57" t="s">
        <v>88</v>
      </c>
      <c r="X57" t="s">
        <v>89</v>
      </c>
      <c r="Y57" t="s">
        <v>90</v>
      </c>
      <c r="Z57" t="s">
        <v>578</v>
      </c>
      <c r="AA57" t="s">
        <v>92</v>
      </c>
      <c r="AB57" t="s">
        <v>579</v>
      </c>
      <c r="AC57" s="1">
        <v>1.78195E+18</v>
      </c>
      <c r="AD57" t="s">
        <v>90</v>
      </c>
      <c r="AE57" t="s">
        <v>90</v>
      </c>
      <c r="AF57" t="s">
        <v>94</v>
      </c>
      <c r="AG57" t="s">
        <v>90</v>
      </c>
      <c r="AH57" t="s">
        <v>580</v>
      </c>
      <c r="AI57" t="s">
        <v>96</v>
      </c>
      <c r="AJ57" t="s">
        <v>92</v>
      </c>
      <c r="AK57" t="s">
        <v>92</v>
      </c>
      <c r="AL57" t="s">
        <v>97</v>
      </c>
      <c r="AM57" t="s">
        <v>90</v>
      </c>
      <c r="AN57" t="s">
        <v>90</v>
      </c>
      <c r="AO57" t="s">
        <v>90</v>
      </c>
      <c r="AP57" t="s">
        <v>90</v>
      </c>
      <c r="AQ57" t="s">
        <v>90</v>
      </c>
      <c r="AR57" t="s">
        <v>90</v>
      </c>
      <c r="AS57" t="s">
        <v>90</v>
      </c>
      <c r="AT57" t="s">
        <v>90</v>
      </c>
      <c r="AU57" t="s">
        <v>90</v>
      </c>
      <c r="AV57" t="s">
        <v>90</v>
      </c>
      <c r="AW57" t="s">
        <v>90</v>
      </c>
      <c r="AX57" t="s">
        <v>90</v>
      </c>
      <c r="AY57" t="s">
        <v>90</v>
      </c>
      <c r="AZ57" t="s">
        <v>90</v>
      </c>
      <c r="BA57" t="s">
        <v>90</v>
      </c>
      <c r="BB57" t="s">
        <v>90</v>
      </c>
      <c r="BC57" t="s">
        <v>90</v>
      </c>
      <c r="BD57" t="s">
        <v>90</v>
      </c>
      <c r="BE57" t="s">
        <v>90</v>
      </c>
      <c r="BF57" t="s">
        <v>90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  <c r="BL57" t="s">
        <v>90</v>
      </c>
      <c r="BM57" t="s">
        <v>90</v>
      </c>
      <c r="BN57" t="s">
        <v>90</v>
      </c>
      <c r="BO57" t="s">
        <v>92</v>
      </c>
      <c r="BP57" t="s">
        <v>90</v>
      </c>
      <c r="BQ57" t="s">
        <v>90</v>
      </c>
      <c r="BR57" t="s">
        <v>406</v>
      </c>
    </row>
    <row r="58" spans="1:72" ht="15" customHeight="1" x14ac:dyDescent="0.25">
      <c r="A58" t="s">
        <v>581</v>
      </c>
      <c r="B58" t="s">
        <v>582</v>
      </c>
      <c r="C58" t="s">
        <v>101</v>
      </c>
      <c r="D58" s="10" t="s">
        <v>175</v>
      </c>
      <c r="E58" t="s">
        <v>75</v>
      </c>
      <c r="G58" t="s">
        <v>350</v>
      </c>
      <c r="H58" t="s">
        <v>351</v>
      </c>
      <c r="I58" t="s">
        <v>78</v>
      </c>
      <c r="J58" t="s">
        <v>79</v>
      </c>
      <c r="K58" t="s">
        <v>80</v>
      </c>
      <c r="L58" t="s">
        <v>583</v>
      </c>
      <c r="M58" t="s">
        <v>584</v>
      </c>
      <c r="N58" t="s">
        <v>83</v>
      </c>
      <c r="O58" t="s">
        <v>84</v>
      </c>
      <c r="P58" t="s">
        <v>109</v>
      </c>
      <c r="Q58" t="s">
        <v>122</v>
      </c>
      <c r="S58" t="s">
        <v>189</v>
      </c>
      <c r="T58">
        <v>1</v>
      </c>
      <c r="U58">
        <v>2</v>
      </c>
      <c r="V58" t="s">
        <v>110</v>
      </c>
      <c r="W58" t="s">
        <v>88</v>
      </c>
      <c r="X58" t="s">
        <v>89</v>
      </c>
      <c r="Y58" t="s">
        <v>90</v>
      </c>
      <c r="Z58" t="s">
        <v>585</v>
      </c>
      <c r="AA58" t="s">
        <v>92</v>
      </c>
      <c r="AB58" t="s">
        <v>586</v>
      </c>
      <c r="AC58" s="1">
        <v>1.81385E+18</v>
      </c>
      <c r="AD58" t="s">
        <v>90</v>
      </c>
      <c r="AE58" t="s">
        <v>90</v>
      </c>
      <c r="AF58" t="s">
        <v>94</v>
      </c>
      <c r="AG58" t="s">
        <v>90</v>
      </c>
      <c r="AH58" t="s">
        <v>587</v>
      </c>
      <c r="AI58" t="s">
        <v>96</v>
      </c>
      <c r="AJ58" t="s">
        <v>92</v>
      </c>
      <c r="AK58" t="s">
        <v>92</v>
      </c>
      <c r="AL58" t="s">
        <v>97</v>
      </c>
      <c r="AM58" t="s">
        <v>90</v>
      </c>
      <c r="AN58" t="s">
        <v>90</v>
      </c>
      <c r="AO58" t="s">
        <v>90</v>
      </c>
      <c r="AP58" t="s">
        <v>90</v>
      </c>
      <c r="AQ58" t="s">
        <v>90</v>
      </c>
      <c r="AR58" t="s">
        <v>90</v>
      </c>
      <c r="AS58" t="s">
        <v>90</v>
      </c>
      <c r="AT58" t="s">
        <v>90</v>
      </c>
      <c r="AU58" t="s">
        <v>90</v>
      </c>
      <c r="AV58" t="s">
        <v>90</v>
      </c>
      <c r="AW58" t="s">
        <v>90</v>
      </c>
      <c r="AX58" t="s">
        <v>90</v>
      </c>
      <c r="AY58" t="s">
        <v>90</v>
      </c>
      <c r="AZ58" t="s">
        <v>90</v>
      </c>
      <c r="BA58" t="s">
        <v>90</v>
      </c>
      <c r="BB58" t="s">
        <v>90</v>
      </c>
      <c r="BC58" t="s">
        <v>90</v>
      </c>
      <c r="BD58" t="s">
        <v>90</v>
      </c>
      <c r="BE58" t="s">
        <v>90</v>
      </c>
      <c r="BF58" t="s">
        <v>90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 t="s">
        <v>90</v>
      </c>
      <c r="BM58" t="s">
        <v>90</v>
      </c>
      <c r="BN58" t="s">
        <v>90</v>
      </c>
      <c r="BO58" t="s">
        <v>92</v>
      </c>
      <c r="BP58" t="s">
        <v>90</v>
      </c>
      <c r="BQ58" t="s">
        <v>90</v>
      </c>
      <c r="BR58" t="s">
        <v>588</v>
      </c>
    </row>
    <row r="59" spans="1:72" ht="15" customHeight="1" x14ac:dyDescent="0.25">
      <c r="A59" s="4" t="s">
        <v>589</v>
      </c>
      <c r="B59" s="4" t="s">
        <v>590</v>
      </c>
      <c r="C59" s="4" t="s">
        <v>73</v>
      </c>
      <c r="D59" s="4" t="s">
        <v>591</v>
      </c>
      <c r="E59" s="4" t="s">
        <v>103</v>
      </c>
      <c r="F59" s="4"/>
      <c r="G59" s="4" t="s">
        <v>463</v>
      </c>
      <c r="H59" s="4" t="s">
        <v>369</v>
      </c>
      <c r="I59" t="s">
        <v>200</v>
      </c>
      <c r="J59" t="s">
        <v>79</v>
      </c>
      <c r="K59" t="s">
        <v>80</v>
      </c>
      <c r="L59" s="4" t="s">
        <v>592</v>
      </c>
      <c r="M59" s="4" t="s">
        <v>593</v>
      </c>
      <c r="N59" t="s">
        <v>83</v>
      </c>
      <c r="O59" s="4" t="s">
        <v>84</v>
      </c>
      <c r="P59" s="4" t="s">
        <v>85</v>
      </c>
      <c r="Q59" s="4"/>
      <c r="R59" s="4"/>
      <c r="T59">
        <v>1</v>
      </c>
      <c r="U59">
        <v>2</v>
      </c>
      <c r="V59" t="s">
        <v>87</v>
      </c>
      <c r="W59" t="s">
        <v>88</v>
      </c>
      <c r="X59" t="s">
        <v>89</v>
      </c>
      <c r="Y59" t="s">
        <v>90</v>
      </c>
      <c r="Z59" t="s">
        <v>594</v>
      </c>
      <c r="AA59" t="s">
        <v>92</v>
      </c>
      <c r="AB59" t="s">
        <v>595</v>
      </c>
      <c r="AC59" s="1">
        <v>1.73407E+18</v>
      </c>
      <c r="AD59" t="s">
        <v>90</v>
      </c>
      <c r="AE59" t="s">
        <v>90</v>
      </c>
      <c r="AF59" t="s">
        <v>94</v>
      </c>
      <c r="AG59" t="s">
        <v>90</v>
      </c>
      <c r="AH59" t="s">
        <v>596</v>
      </c>
      <c r="AI59" t="s">
        <v>96</v>
      </c>
      <c r="AJ59" t="s">
        <v>92</v>
      </c>
      <c r="AK59" t="s">
        <v>92</v>
      </c>
      <c r="AL59" t="s">
        <v>97</v>
      </c>
      <c r="AM59" t="s">
        <v>90</v>
      </c>
      <c r="AN59" t="s">
        <v>90</v>
      </c>
      <c r="AO59" t="s">
        <v>90</v>
      </c>
      <c r="AP59" t="s">
        <v>90</v>
      </c>
      <c r="AQ59" t="s">
        <v>90</v>
      </c>
      <c r="AR59" t="s">
        <v>90</v>
      </c>
      <c r="AS59" t="s">
        <v>90</v>
      </c>
      <c r="AT59" t="s">
        <v>90</v>
      </c>
      <c r="AU59" t="s">
        <v>90</v>
      </c>
      <c r="AV59" t="s">
        <v>90</v>
      </c>
      <c r="AW59" t="s">
        <v>90</v>
      </c>
      <c r="AX59" t="s">
        <v>90</v>
      </c>
      <c r="AY59" t="s">
        <v>90</v>
      </c>
      <c r="AZ59" t="s">
        <v>90</v>
      </c>
      <c r="BA59" t="s">
        <v>90</v>
      </c>
      <c r="BB59" t="s">
        <v>90</v>
      </c>
      <c r="BC59" t="s">
        <v>90</v>
      </c>
      <c r="BD59" t="s">
        <v>90</v>
      </c>
      <c r="BE59" t="s">
        <v>90</v>
      </c>
      <c r="BF59" t="s">
        <v>90</v>
      </c>
      <c r="BG59" t="s">
        <v>90</v>
      </c>
      <c r="BH59" t="s">
        <v>90</v>
      </c>
      <c r="BI59" t="s">
        <v>90</v>
      </c>
      <c r="BJ59" t="s">
        <v>90</v>
      </c>
      <c r="BK59" t="s">
        <v>90</v>
      </c>
      <c r="BL59" t="s">
        <v>90</v>
      </c>
      <c r="BM59" t="s">
        <v>90</v>
      </c>
      <c r="BN59" t="s">
        <v>90</v>
      </c>
      <c r="BO59" t="s">
        <v>92</v>
      </c>
      <c r="BP59" t="s">
        <v>90</v>
      </c>
      <c r="BQ59" t="s">
        <v>90</v>
      </c>
      <c r="BR59" s="4"/>
    </row>
    <row r="60" spans="1:72" ht="15" customHeight="1" x14ac:dyDescent="0.25">
      <c r="A60" s="3" t="s">
        <v>597</v>
      </c>
      <c r="B60" s="3" t="s">
        <v>598</v>
      </c>
      <c r="C60" s="3" t="s">
        <v>73</v>
      </c>
      <c r="D60" s="3" t="s">
        <v>599</v>
      </c>
      <c r="E60" s="3" t="s">
        <v>103</v>
      </c>
      <c r="F60" s="3" t="s">
        <v>600</v>
      </c>
      <c r="G60" s="3" t="s">
        <v>601</v>
      </c>
      <c r="H60" s="3" t="s">
        <v>602</v>
      </c>
      <c r="I60" t="s">
        <v>78</v>
      </c>
      <c r="J60" t="s">
        <v>79</v>
      </c>
      <c r="K60" t="s">
        <v>80</v>
      </c>
      <c r="L60" s="3" t="s">
        <v>603</v>
      </c>
      <c r="M60" s="3" t="s">
        <v>604</v>
      </c>
      <c r="N60" t="s">
        <v>83</v>
      </c>
      <c r="O60" s="3" t="s">
        <v>84</v>
      </c>
      <c r="P60" s="3" t="s">
        <v>85</v>
      </c>
      <c r="Q60" s="3"/>
      <c r="R60" s="3"/>
      <c r="S60" t="s">
        <v>189</v>
      </c>
      <c r="T60">
        <v>1</v>
      </c>
      <c r="U60">
        <v>2</v>
      </c>
      <c r="V60" t="s">
        <v>110</v>
      </c>
      <c r="W60" t="s">
        <v>88</v>
      </c>
      <c r="X60" t="s">
        <v>89</v>
      </c>
      <c r="Y60" t="s">
        <v>90</v>
      </c>
      <c r="Z60" t="s">
        <v>605</v>
      </c>
      <c r="AA60" t="s">
        <v>92</v>
      </c>
      <c r="AB60" t="s">
        <v>606</v>
      </c>
      <c r="AC60" s="1">
        <v>1.74793E+18</v>
      </c>
      <c r="AD60" t="s">
        <v>90</v>
      </c>
      <c r="AE60" t="s">
        <v>90</v>
      </c>
      <c r="AF60" t="s">
        <v>94</v>
      </c>
      <c r="AG60" t="s">
        <v>90</v>
      </c>
      <c r="AH60" t="s">
        <v>607</v>
      </c>
      <c r="AI60" t="s">
        <v>96</v>
      </c>
      <c r="AJ60" t="s">
        <v>92</v>
      </c>
      <c r="AK60" t="s">
        <v>92</v>
      </c>
      <c r="AL60" t="s">
        <v>97</v>
      </c>
      <c r="AM60" t="s">
        <v>90</v>
      </c>
      <c r="AN60" t="s">
        <v>90</v>
      </c>
      <c r="AO60" t="s">
        <v>90</v>
      </c>
      <c r="AP60" t="s">
        <v>90</v>
      </c>
      <c r="AQ60" t="s">
        <v>90</v>
      </c>
      <c r="AR60" t="s">
        <v>90</v>
      </c>
      <c r="AS60" t="s">
        <v>90</v>
      </c>
      <c r="AT60" t="s">
        <v>90</v>
      </c>
      <c r="AU60" t="s">
        <v>90</v>
      </c>
      <c r="AV60" t="s">
        <v>90</v>
      </c>
      <c r="AW60" t="s">
        <v>90</v>
      </c>
      <c r="AX60" t="s">
        <v>90</v>
      </c>
      <c r="AY60" t="s">
        <v>90</v>
      </c>
      <c r="AZ60" t="s">
        <v>90</v>
      </c>
      <c r="BA60" t="s">
        <v>90</v>
      </c>
      <c r="BB60" t="s">
        <v>90</v>
      </c>
      <c r="BC60" t="s">
        <v>90</v>
      </c>
      <c r="BD60" t="s">
        <v>90</v>
      </c>
      <c r="BE60" t="s">
        <v>90</v>
      </c>
      <c r="BF60" t="s">
        <v>90</v>
      </c>
      <c r="BG60" t="s">
        <v>90</v>
      </c>
      <c r="BH60" t="s">
        <v>90</v>
      </c>
      <c r="BI60" t="s">
        <v>90</v>
      </c>
      <c r="BJ60" t="s">
        <v>90</v>
      </c>
      <c r="BK60" t="s">
        <v>90</v>
      </c>
      <c r="BL60" t="s">
        <v>90</v>
      </c>
      <c r="BM60" t="s">
        <v>90</v>
      </c>
      <c r="BN60" t="s">
        <v>90</v>
      </c>
      <c r="BO60" t="s">
        <v>92</v>
      </c>
      <c r="BP60" t="s">
        <v>90</v>
      </c>
      <c r="BQ60" t="s">
        <v>90</v>
      </c>
      <c r="BR60" s="3" t="s">
        <v>206</v>
      </c>
    </row>
    <row r="61" spans="1:72" ht="15" customHeight="1" x14ac:dyDescent="0.25">
      <c r="A61" s="5" t="s">
        <v>608</v>
      </c>
      <c r="B61" s="5" t="s">
        <v>609</v>
      </c>
      <c r="C61" s="5" t="s">
        <v>73</v>
      </c>
      <c r="D61" s="5" t="s">
        <v>610</v>
      </c>
      <c r="E61" s="5" t="s">
        <v>103</v>
      </c>
      <c r="F61" s="5" t="s">
        <v>611</v>
      </c>
      <c r="G61" s="5" t="s">
        <v>280</v>
      </c>
      <c r="H61" s="5" t="s">
        <v>281</v>
      </c>
      <c r="I61" t="s">
        <v>200</v>
      </c>
      <c r="J61" t="s">
        <v>79</v>
      </c>
      <c r="K61" t="s">
        <v>80</v>
      </c>
      <c r="L61" s="5" t="s">
        <v>612</v>
      </c>
      <c r="M61" s="5" t="s">
        <v>613</v>
      </c>
      <c r="N61" t="s">
        <v>83</v>
      </c>
      <c r="O61" s="5" t="s">
        <v>84</v>
      </c>
      <c r="P61" s="5" t="s">
        <v>85</v>
      </c>
      <c r="Q61" s="5"/>
      <c r="R61" s="5"/>
      <c r="S61" s="5" t="s">
        <v>189</v>
      </c>
      <c r="T61">
        <v>1</v>
      </c>
      <c r="U61">
        <v>2</v>
      </c>
      <c r="V61" t="s">
        <v>110</v>
      </c>
      <c r="W61" t="s">
        <v>88</v>
      </c>
      <c r="X61" t="s">
        <v>89</v>
      </c>
      <c r="Y61" t="s">
        <v>90</v>
      </c>
      <c r="Z61" t="s">
        <v>614</v>
      </c>
      <c r="AA61" t="s">
        <v>92</v>
      </c>
      <c r="AB61" t="s">
        <v>615</v>
      </c>
      <c r="AC61" s="1">
        <v>1.8558E+18</v>
      </c>
      <c r="AD61" t="s">
        <v>90</v>
      </c>
      <c r="AE61" t="s">
        <v>90</v>
      </c>
      <c r="AF61" t="s">
        <v>94</v>
      </c>
      <c r="AG61" t="s">
        <v>90</v>
      </c>
      <c r="AH61" t="s">
        <v>616</v>
      </c>
      <c r="AI61" t="s">
        <v>96</v>
      </c>
      <c r="AJ61" t="s">
        <v>92</v>
      </c>
      <c r="AK61" t="s">
        <v>92</v>
      </c>
      <c r="AL61" t="s">
        <v>97</v>
      </c>
      <c r="AM61" t="s">
        <v>90</v>
      </c>
      <c r="AN61" t="s">
        <v>90</v>
      </c>
      <c r="AO61" t="s">
        <v>90</v>
      </c>
      <c r="AP61" t="s">
        <v>90</v>
      </c>
      <c r="AQ61" t="s">
        <v>90</v>
      </c>
      <c r="AR61" t="s">
        <v>90</v>
      </c>
      <c r="AS61" t="s">
        <v>90</v>
      </c>
      <c r="AT61" t="s">
        <v>90</v>
      </c>
      <c r="AU61" t="s">
        <v>90</v>
      </c>
      <c r="AV61" t="s">
        <v>90</v>
      </c>
      <c r="AW61" t="s">
        <v>90</v>
      </c>
      <c r="AX61" t="s">
        <v>90</v>
      </c>
      <c r="AY61" t="s">
        <v>90</v>
      </c>
      <c r="AZ61" t="s">
        <v>90</v>
      </c>
      <c r="BA61" t="s">
        <v>90</v>
      </c>
      <c r="BB61" t="s">
        <v>90</v>
      </c>
      <c r="BC61" t="s">
        <v>90</v>
      </c>
      <c r="BD61" t="s">
        <v>90</v>
      </c>
      <c r="BE61" t="s">
        <v>90</v>
      </c>
      <c r="BF61" t="s">
        <v>90</v>
      </c>
      <c r="BG61" t="s">
        <v>90</v>
      </c>
      <c r="BH61" t="s">
        <v>90</v>
      </c>
      <c r="BI61" t="s">
        <v>90</v>
      </c>
      <c r="BJ61" t="s">
        <v>90</v>
      </c>
      <c r="BK61" t="s">
        <v>90</v>
      </c>
      <c r="BL61" t="s">
        <v>90</v>
      </c>
      <c r="BM61" t="s">
        <v>90</v>
      </c>
      <c r="BN61" t="s">
        <v>90</v>
      </c>
      <c r="BO61" t="s">
        <v>92</v>
      </c>
      <c r="BP61" t="s">
        <v>90</v>
      </c>
      <c r="BQ61" t="s">
        <v>90</v>
      </c>
      <c r="BR61" s="5" t="s">
        <v>617</v>
      </c>
      <c r="BS61" t="s">
        <v>590</v>
      </c>
    </row>
    <row r="62" spans="1:72" ht="15" customHeight="1" x14ac:dyDescent="0.25">
      <c r="A62" s="5" t="s">
        <v>618</v>
      </c>
      <c r="B62" s="5" t="s">
        <v>619</v>
      </c>
      <c r="C62" s="5" t="s">
        <v>73</v>
      </c>
      <c r="D62" s="12" t="s">
        <v>74</v>
      </c>
      <c r="E62" s="5" t="s">
        <v>103</v>
      </c>
      <c r="F62" s="5"/>
      <c r="G62" s="5" t="s">
        <v>280</v>
      </c>
      <c r="H62" s="5" t="s">
        <v>281</v>
      </c>
      <c r="I62" t="s">
        <v>200</v>
      </c>
      <c r="J62" t="s">
        <v>79</v>
      </c>
      <c r="K62" t="s">
        <v>80</v>
      </c>
      <c r="L62" s="5" t="s">
        <v>620</v>
      </c>
      <c r="M62" s="5" t="s">
        <v>621</v>
      </c>
      <c r="N62" t="s">
        <v>83</v>
      </c>
      <c r="O62" s="5" t="s">
        <v>84</v>
      </c>
      <c r="P62" s="5" t="s">
        <v>85</v>
      </c>
      <c r="Q62" s="5"/>
      <c r="R62" s="5"/>
      <c r="T62">
        <v>1</v>
      </c>
      <c r="U62">
        <v>2</v>
      </c>
      <c r="V62" t="s">
        <v>110</v>
      </c>
      <c r="W62" t="s">
        <v>88</v>
      </c>
      <c r="X62" t="s">
        <v>89</v>
      </c>
      <c r="Y62" t="s">
        <v>622</v>
      </c>
      <c r="Z62" t="s">
        <v>623</v>
      </c>
      <c r="AA62" t="s">
        <v>92</v>
      </c>
      <c r="AB62" t="s">
        <v>624</v>
      </c>
      <c r="AC62" s="1">
        <v>1.74789E+18</v>
      </c>
      <c r="AD62" t="s">
        <v>90</v>
      </c>
      <c r="AE62" t="s">
        <v>90</v>
      </c>
      <c r="AF62" t="s">
        <v>94</v>
      </c>
      <c r="AG62" t="s">
        <v>90</v>
      </c>
      <c r="AH62" t="s">
        <v>625</v>
      </c>
      <c r="AI62" t="s">
        <v>96</v>
      </c>
      <c r="AJ62" t="s">
        <v>92</v>
      </c>
      <c r="AK62" t="s">
        <v>92</v>
      </c>
      <c r="AL62" t="s">
        <v>97</v>
      </c>
      <c r="AM62" t="s">
        <v>90</v>
      </c>
      <c r="AN62" t="s">
        <v>90</v>
      </c>
      <c r="AO62" t="s">
        <v>90</v>
      </c>
      <c r="AP62" t="s">
        <v>90</v>
      </c>
      <c r="AQ62" t="s">
        <v>90</v>
      </c>
      <c r="AR62" t="s">
        <v>90</v>
      </c>
      <c r="AS62" t="s">
        <v>90</v>
      </c>
      <c r="AT62" t="s">
        <v>90</v>
      </c>
      <c r="AU62" t="s">
        <v>90</v>
      </c>
      <c r="AV62" t="s">
        <v>90</v>
      </c>
      <c r="AW62" t="s">
        <v>90</v>
      </c>
      <c r="AX62" t="s">
        <v>90</v>
      </c>
      <c r="AY62" t="s">
        <v>90</v>
      </c>
      <c r="AZ62" t="s">
        <v>90</v>
      </c>
      <c r="BA62" t="s">
        <v>90</v>
      </c>
      <c r="BB62" t="s">
        <v>90</v>
      </c>
      <c r="BC62" t="s">
        <v>90</v>
      </c>
      <c r="BD62" t="s">
        <v>90</v>
      </c>
      <c r="BE62" t="s">
        <v>90</v>
      </c>
      <c r="BF62" t="s">
        <v>90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  <c r="BL62" t="s">
        <v>90</v>
      </c>
      <c r="BM62" t="s">
        <v>90</v>
      </c>
      <c r="BN62" t="s">
        <v>90</v>
      </c>
      <c r="BO62" t="s">
        <v>92</v>
      </c>
      <c r="BP62" t="s">
        <v>90</v>
      </c>
      <c r="BQ62" t="s">
        <v>90</v>
      </c>
      <c r="BR62" s="5"/>
      <c r="BS62" t="s">
        <v>288</v>
      </c>
    </row>
    <row r="63" spans="1:72" ht="15" customHeight="1" x14ac:dyDescent="0.25">
      <c r="A63" s="9" t="s">
        <v>626</v>
      </c>
      <c r="B63" s="9" t="s">
        <v>627</v>
      </c>
      <c r="C63" s="9" t="s">
        <v>73</v>
      </c>
      <c r="D63" s="9" t="s">
        <v>628</v>
      </c>
      <c r="E63" s="9" t="s">
        <v>103</v>
      </c>
      <c r="F63" s="9"/>
      <c r="G63" s="9" t="s">
        <v>280</v>
      </c>
      <c r="H63" s="9" t="s">
        <v>281</v>
      </c>
      <c r="I63" t="s">
        <v>200</v>
      </c>
      <c r="J63" t="s">
        <v>79</v>
      </c>
      <c r="K63" t="s">
        <v>80</v>
      </c>
      <c r="L63" s="9" t="s">
        <v>629</v>
      </c>
      <c r="M63" s="9" t="s">
        <v>630</v>
      </c>
      <c r="N63" t="s">
        <v>83</v>
      </c>
      <c r="O63" s="9" t="s">
        <v>84</v>
      </c>
      <c r="P63" s="9" t="s">
        <v>85</v>
      </c>
      <c r="Q63" s="9"/>
      <c r="R63" s="9"/>
      <c r="S63" t="s">
        <v>189</v>
      </c>
      <c r="T63">
        <v>1</v>
      </c>
      <c r="U63">
        <v>2</v>
      </c>
      <c r="V63" t="s">
        <v>87</v>
      </c>
      <c r="W63" t="s">
        <v>88</v>
      </c>
      <c r="X63" t="s">
        <v>89</v>
      </c>
      <c r="Y63" t="s">
        <v>90</v>
      </c>
      <c r="Z63" t="s">
        <v>631</v>
      </c>
      <c r="AA63" t="s">
        <v>92</v>
      </c>
      <c r="AB63" t="s">
        <v>632</v>
      </c>
      <c r="AC63" s="1">
        <v>1.96228E+18</v>
      </c>
      <c r="AD63" t="s">
        <v>90</v>
      </c>
      <c r="AE63" t="s">
        <v>90</v>
      </c>
      <c r="AF63" t="s">
        <v>94</v>
      </c>
      <c r="AG63" t="s">
        <v>90</v>
      </c>
      <c r="AH63" t="s">
        <v>633</v>
      </c>
      <c r="AI63" t="s">
        <v>96</v>
      </c>
      <c r="AJ63" t="s">
        <v>92</v>
      </c>
      <c r="AK63" t="s">
        <v>92</v>
      </c>
      <c r="AL63" t="s">
        <v>97</v>
      </c>
      <c r="AM63" t="s">
        <v>90</v>
      </c>
      <c r="AN63" t="s">
        <v>90</v>
      </c>
      <c r="AO63" t="s">
        <v>90</v>
      </c>
      <c r="AP63" t="s">
        <v>90</v>
      </c>
      <c r="AQ63" t="s">
        <v>90</v>
      </c>
      <c r="AR63" t="s">
        <v>90</v>
      </c>
      <c r="AS63" t="s">
        <v>90</v>
      </c>
      <c r="AT63" t="s">
        <v>90</v>
      </c>
      <c r="AU63" t="s">
        <v>90</v>
      </c>
      <c r="AV63" t="s">
        <v>90</v>
      </c>
      <c r="AW63" t="s">
        <v>90</v>
      </c>
      <c r="AX63" t="s">
        <v>90</v>
      </c>
      <c r="AY63" t="s">
        <v>90</v>
      </c>
      <c r="AZ63" t="s">
        <v>90</v>
      </c>
      <c r="BA63" t="s">
        <v>90</v>
      </c>
      <c r="BB63" t="s">
        <v>90</v>
      </c>
      <c r="BC63" t="s">
        <v>90</v>
      </c>
      <c r="BD63" t="s">
        <v>90</v>
      </c>
      <c r="BE63" t="s">
        <v>90</v>
      </c>
      <c r="BF63" t="s">
        <v>90</v>
      </c>
      <c r="BG63" t="s">
        <v>90</v>
      </c>
      <c r="BH63" t="s">
        <v>90</v>
      </c>
      <c r="BI63" t="s">
        <v>90</v>
      </c>
      <c r="BJ63" t="s">
        <v>90</v>
      </c>
      <c r="BK63" t="s">
        <v>90</v>
      </c>
      <c r="BL63" t="s">
        <v>90</v>
      </c>
      <c r="BM63" t="s">
        <v>90</v>
      </c>
      <c r="BN63" t="s">
        <v>90</v>
      </c>
      <c r="BO63" t="s">
        <v>92</v>
      </c>
      <c r="BP63" t="s">
        <v>90</v>
      </c>
      <c r="BQ63" t="s">
        <v>90</v>
      </c>
      <c r="BR63" s="9" t="s">
        <v>123</v>
      </c>
      <c r="BS63" s="9" t="s">
        <v>288</v>
      </c>
    </row>
    <row r="64" spans="1:72" ht="15" customHeight="1" x14ac:dyDescent="0.25">
      <c r="A64" s="25" t="s">
        <v>634</v>
      </c>
      <c r="B64" s="26" t="s">
        <v>635</v>
      </c>
      <c r="C64" t="s">
        <v>73</v>
      </c>
      <c r="D64" s="10" t="s">
        <v>462</v>
      </c>
      <c r="E64" t="s">
        <v>103</v>
      </c>
      <c r="G64" t="s">
        <v>463</v>
      </c>
      <c r="H64" s="27" t="s">
        <v>369</v>
      </c>
      <c r="I64" t="s">
        <v>78</v>
      </c>
      <c r="J64" t="s">
        <v>79</v>
      </c>
      <c r="K64" t="s">
        <v>80</v>
      </c>
      <c r="L64" t="s">
        <v>636</v>
      </c>
      <c r="M64" t="s">
        <v>637</v>
      </c>
      <c r="N64" t="s">
        <v>83</v>
      </c>
      <c r="O64" t="s">
        <v>84</v>
      </c>
      <c r="P64" t="s">
        <v>85</v>
      </c>
      <c r="T64">
        <v>1</v>
      </c>
      <c r="U64">
        <v>2</v>
      </c>
      <c r="V64" t="s">
        <v>110</v>
      </c>
      <c r="W64" t="s">
        <v>88</v>
      </c>
      <c r="X64" t="s">
        <v>89</v>
      </c>
      <c r="Y64" t="s">
        <v>90</v>
      </c>
      <c r="Z64" t="s">
        <v>638</v>
      </c>
      <c r="AA64" t="s">
        <v>92</v>
      </c>
      <c r="AB64" t="s">
        <v>639</v>
      </c>
      <c r="AC64" s="1">
        <v>1.70572E+18</v>
      </c>
      <c r="AD64" t="s">
        <v>90</v>
      </c>
      <c r="AE64" t="s">
        <v>90</v>
      </c>
      <c r="AF64" t="s">
        <v>94</v>
      </c>
      <c r="AG64" t="s">
        <v>90</v>
      </c>
      <c r="AH64" t="s">
        <v>640</v>
      </c>
      <c r="AI64" t="s">
        <v>96</v>
      </c>
      <c r="AJ64" t="s">
        <v>92</v>
      </c>
      <c r="AK64" t="s">
        <v>92</v>
      </c>
      <c r="AL64" t="s">
        <v>97</v>
      </c>
      <c r="AM64" t="s">
        <v>90</v>
      </c>
      <c r="AN64" t="s">
        <v>90</v>
      </c>
      <c r="AO64" t="s">
        <v>90</v>
      </c>
      <c r="AP64" t="s">
        <v>90</v>
      </c>
      <c r="AQ64" t="s">
        <v>90</v>
      </c>
      <c r="AR64" t="s">
        <v>90</v>
      </c>
      <c r="AS64" t="s">
        <v>90</v>
      </c>
      <c r="AT64" t="s">
        <v>90</v>
      </c>
      <c r="AU64" t="s">
        <v>90</v>
      </c>
      <c r="AV64" t="s">
        <v>90</v>
      </c>
      <c r="AW64" t="s">
        <v>90</v>
      </c>
      <c r="AX64" t="s">
        <v>90</v>
      </c>
      <c r="AY64" t="s">
        <v>90</v>
      </c>
      <c r="AZ64" t="s">
        <v>90</v>
      </c>
      <c r="BA64" t="s">
        <v>90</v>
      </c>
      <c r="BB64" t="s">
        <v>90</v>
      </c>
      <c r="BC64" t="s">
        <v>90</v>
      </c>
      <c r="BD64" t="s">
        <v>90</v>
      </c>
      <c r="BE64" t="s">
        <v>90</v>
      </c>
      <c r="BF64" t="s">
        <v>90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  <c r="BL64" t="s">
        <v>90</v>
      </c>
      <c r="BM64" t="s">
        <v>90</v>
      </c>
      <c r="BN64" t="s">
        <v>90</v>
      </c>
      <c r="BO64" t="s">
        <v>92</v>
      </c>
      <c r="BP64" t="s">
        <v>90</v>
      </c>
      <c r="BQ64" t="s">
        <v>90</v>
      </c>
    </row>
    <row r="65" spans="1:71" x14ac:dyDescent="0.25">
      <c r="A65" s="25" t="s">
        <v>641</v>
      </c>
      <c r="B65" s="26" t="s">
        <v>184</v>
      </c>
      <c r="C65" t="s">
        <v>101</v>
      </c>
      <c r="D65" t="s">
        <v>219</v>
      </c>
      <c r="E65" t="s">
        <v>75</v>
      </c>
      <c r="F65" t="s">
        <v>186</v>
      </c>
      <c r="G65" t="s">
        <v>341</v>
      </c>
      <c r="H65" s="27" t="s">
        <v>342</v>
      </c>
      <c r="I65" t="s">
        <v>78</v>
      </c>
      <c r="J65" t="s">
        <v>79</v>
      </c>
      <c r="K65" t="s">
        <v>80</v>
      </c>
      <c r="L65" t="s">
        <v>642</v>
      </c>
      <c r="M65" t="s">
        <v>643</v>
      </c>
      <c r="N65" t="s">
        <v>212</v>
      </c>
      <c r="O65" t="s">
        <v>84</v>
      </c>
      <c r="P65" t="s">
        <v>85</v>
      </c>
      <c r="S65" t="s">
        <v>189</v>
      </c>
      <c r="T65">
        <v>1</v>
      </c>
      <c r="U65">
        <v>4</v>
      </c>
      <c r="V65" t="s">
        <v>110</v>
      </c>
      <c r="W65" t="s">
        <v>88</v>
      </c>
      <c r="X65" t="s">
        <v>89</v>
      </c>
      <c r="Y65" t="s">
        <v>90</v>
      </c>
      <c r="Z65" t="s">
        <v>644</v>
      </c>
      <c r="AA65" t="s">
        <v>92</v>
      </c>
      <c r="AB65" t="s">
        <v>645</v>
      </c>
      <c r="AC65" s="1">
        <v>1.69722E+18</v>
      </c>
      <c r="AD65" t="s">
        <v>90</v>
      </c>
      <c r="AE65" t="s">
        <v>90</v>
      </c>
      <c r="AF65" t="s">
        <v>94</v>
      </c>
      <c r="AG65" t="s">
        <v>90</v>
      </c>
      <c r="AH65" t="s">
        <v>646</v>
      </c>
      <c r="AI65" t="s">
        <v>96</v>
      </c>
      <c r="AJ65" t="s">
        <v>92</v>
      </c>
      <c r="AK65" t="s">
        <v>92</v>
      </c>
      <c r="AL65" t="s">
        <v>97</v>
      </c>
      <c r="AM65" t="s">
        <v>90</v>
      </c>
      <c r="AN65" t="s">
        <v>90</v>
      </c>
      <c r="AO65" t="s">
        <v>90</v>
      </c>
      <c r="AP65" t="s">
        <v>90</v>
      </c>
      <c r="AQ65" t="s">
        <v>90</v>
      </c>
      <c r="AR65" t="s">
        <v>90</v>
      </c>
      <c r="AS65" t="s">
        <v>90</v>
      </c>
      <c r="AT65" t="s">
        <v>90</v>
      </c>
      <c r="AU65" t="s">
        <v>90</v>
      </c>
      <c r="AV65" t="s">
        <v>90</v>
      </c>
      <c r="AW65" t="s">
        <v>90</v>
      </c>
      <c r="AX65" t="s">
        <v>90</v>
      </c>
      <c r="AY65" t="s">
        <v>90</v>
      </c>
      <c r="AZ65" t="s">
        <v>90</v>
      </c>
      <c r="BA65" t="s">
        <v>90</v>
      </c>
      <c r="BB65" t="s">
        <v>90</v>
      </c>
      <c r="BC65" t="s">
        <v>90</v>
      </c>
      <c r="BD65" t="s">
        <v>90</v>
      </c>
      <c r="BE65" t="s">
        <v>90</v>
      </c>
      <c r="BF65" t="s">
        <v>90</v>
      </c>
      <c r="BG65" t="s">
        <v>90</v>
      </c>
      <c r="BH65" t="s">
        <v>90</v>
      </c>
      <c r="BI65" t="s">
        <v>90</v>
      </c>
      <c r="BJ65" t="s">
        <v>90</v>
      </c>
      <c r="BK65" t="s">
        <v>90</v>
      </c>
      <c r="BL65" t="s">
        <v>90</v>
      </c>
      <c r="BM65" t="s">
        <v>90</v>
      </c>
      <c r="BN65" t="s">
        <v>90</v>
      </c>
      <c r="BO65" t="s">
        <v>92</v>
      </c>
      <c r="BP65" t="s">
        <v>90</v>
      </c>
      <c r="BQ65" t="s">
        <v>90</v>
      </c>
      <c r="BR65" t="s">
        <v>382</v>
      </c>
    </row>
    <row r="66" spans="1:71" ht="15" customHeight="1" x14ac:dyDescent="0.25">
      <c r="A66" t="s">
        <v>647</v>
      </c>
      <c r="B66" t="s">
        <v>648</v>
      </c>
      <c r="C66" t="s">
        <v>73</v>
      </c>
      <c r="D66" s="10" t="s">
        <v>649</v>
      </c>
      <c r="E66" t="s">
        <v>103</v>
      </c>
      <c r="G66" t="s">
        <v>198</v>
      </c>
      <c r="H66" t="s">
        <v>559</v>
      </c>
      <c r="I66" t="s">
        <v>200</v>
      </c>
      <c r="J66" t="s">
        <v>79</v>
      </c>
      <c r="K66" t="s">
        <v>80</v>
      </c>
      <c r="L66" t="s">
        <v>650</v>
      </c>
      <c r="M66" t="s">
        <v>651</v>
      </c>
      <c r="N66" t="s">
        <v>212</v>
      </c>
      <c r="O66" t="s">
        <v>84</v>
      </c>
      <c r="P66" t="s">
        <v>159</v>
      </c>
      <c r="T66">
        <v>1</v>
      </c>
      <c r="U66">
        <v>4</v>
      </c>
      <c r="V66" t="s">
        <v>110</v>
      </c>
      <c r="W66" t="s">
        <v>88</v>
      </c>
      <c r="X66" t="s">
        <v>89</v>
      </c>
      <c r="Y66" t="s">
        <v>90</v>
      </c>
      <c r="Z66" t="s">
        <v>652</v>
      </c>
      <c r="AA66" t="s">
        <v>92</v>
      </c>
      <c r="AB66" t="s">
        <v>653</v>
      </c>
      <c r="AC66" s="1">
        <v>1.70364E+18</v>
      </c>
      <c r="AD66" t="s">
        <v>90</v>
      </c>
      <c r="AE66" t="s">
        <v>90</v>
      </c>
      <c r="AF66" t="s">
        <v>94</v>
      </c>
      <c r="AG66" t="s">
        <v>90</v>
      </c>
      <c r="AH66" t="s">
        <v>654</v>
      </c>
      <c r="AI66" t="s">
        <v>96</v>
      </c>
      <c r="AJ66" t="s">
        <v>92</v>
      </c>
      <c r="AK66" t="s">
        <v>92</v>
      </c>
      <c r="AL66" t="s">
        <v>97</v>
      </c>
      <c r="AM66" t="s">
        <v>90</v>
      </c>
      <c r="AN66" t="s">
        <v>90</v>
      </c>
      <c r="AO66" t="s">
        <v>90</v>
      </c>
      <c r="AP66" t="s">
        <v>90</v>
      </c>
      <c r="AQ66" t="s">
        <v>90</v>
      </c>
      <c r="AR66" t="s">
        <v>90</v>
      </c>
      <c r="AS66" t="s">
        <v>90</v>
      </c>
      <c r="AT66" t="s">
        <v>90</v>
      </c>
      <c r="AU66" t="s">
        <v>90</v>
      </c>
      <c r="AV66" t="s">
        <v>90</v>
      </c>
      <c r="AW66" t="s">
        <v>90</v>
      </c>
      <c r="AX66" t="s">
        <v>90</v>
      </c>
      <c r="AY66" t="s">
        <v>90</v>
      </c>
      <c r="AZ66" t="s">
        <v>90</v>
      </c>
      <c r="BA66" t="s">
        <v>90</v>
      </c>
      <c r="BB66" t="s">
        <v>90</v>
      </c>
      <c r="BC66" t="s">
        <v>90</v>
      </c>
      <c r="BD66" t="s">
        <v>90</v>
      </c>
      <c r="BE66" t="s">
        <v>90</v>
      </c>
      <c r="BF66" t="s">
        <v>90</v>
      </c>
      <c r="BG66" t="s">
        <v>90</v>
      </c>
      <c r="BH66" t="s">
        <v>90</v>
      </c>
      <c r="BI66" t="s">
        <v>90</v>
      </c>
      <c r="BJ66" t="s">
        <v>90</v>
      </c>
      <c r="BK66" t="s">
        <v>90</v>
      </c>
      <c r="BL66" t="s">
        <v>90</v>
      </c>
      <c r="BM66" t="s">
        <v>90</v>
      </c>
      <c r="BN66" t="s">
        <v>90</v>
      </c>
      <c r="BO66" t="s">
        <v>92</v>
      </c>
      <c r="BP66" t="s">
        <v>90</v>
      </c>
      <c r="BQ66" t="s">
        <v>90</v>
      </c>
    </row>
    <row r="67" spans="1:71" x14ac:dyDescent="0.25">
      <c r="A67" t="s">
        <v>655</v>
      </c>
      <c r="B67" t="s">
        <v>656</v>
      </c>
      <c r="C67" t="s">
        <v>101</v>
      </c>
      <c r="D67" s="10" t="s">
        <v>308</v>
      </c>
      <c r="E67" t="s">
        <v>75</v>
      </c>
      <c r="G67" t="s">
        <v>350</v>
      </c>
      <c r="H67" t="s">
        <v>351</v>
      </c>
      <c r="I67" t="s">
        <v>78</v>
      </c>
      <c r="J67" t="s">
        <v>79</v>
      </c>
      <c r="K67" t="s">
        <v>80</v>
      </c>
      <c r="L67" t="s">
        <v>657</v>
      </c>
      <c r="M67" t="s">
        <v>658</v>
      </c>
      <c r="N67" t="s">
        <v>83</v>
      </c>
      <c r="O67" t="s">
        <v>84</v>
      </c>
      <c r="P67" t="s">
        <v>85</v>
      </c>
      <c r="S67" t="s">
        <v>189</v>
      </c>
      <c r="T67">
        <v>1</v>
      </c>
      <c r="U67">
        <v>2</v>
      </c>
      <c r="V67" t="s">
        <v>110</v>
      </c>
      <c r="W67" t="s">
        <v>88</v>
      </c>
      <c r="X67" t="s">
        <v>89</v>
      </c>
      <c r="Y67" t="s">
        <v>90</v>
      </c>
      <c r="Z67" t="s">
        <v>90</v>
      </c>
      <c r="AA67" t="s">
        <v>92</v>
      </c>
      <c r="AB67" t="s">
        <v>659</v>
      </c>
      <c r="AC67" s="1">
        <v>1.74845E+18</v>
      </c>
      <c r="AD67" t="s">
        <v>90</v>
      </c>
      <c r="AE67" t="s">
        <v>90</v>
      </c>
      <c r="AF67" t="s">
        <v>94</v>
      </c>
      <c r="AG67" t="s">
        <v>90</v>
      </c>
      <c r="AH67" t="s">
        <v>660</v>
      </c>
      <c r="AI67" t="s">
        <v>96</v>
      </c>
      <c r="AJ67" t="s">
        <v>92</v>
      </c>
      <c r="AK67" t="s">
        <v>92</v>
      </c>
      <c r="AL67" t="s">
        <v>97</v>
      </c>
      <c r="AM67" t="s">
        <v>90</v>
      </c>
      <c r="AN67" t="s">
        <v>90</v>
      </c>
      <c r="AO67" t="s">
        <v>90</v>
      </c>
      <c r="AP67" t="s">
        <v>90</v>
      </c>
      <c r="AQ67" t="s">
        <v>90</v>
      </c>
      <c r="AR67" t="s">
        <v>90</v>
      </c>
      <c r="AS67" t="s">
        <v>90</v>
      </c>
      <c r="AT67" t="s">
        <v>90</v>
      </c>
      <c r="AU67" t="s">
        <v>90</v>
      </c>
      <c r="AV67" t="s">
        <v>90</v>
      </c>
      <c r="AW67" t="s">
        <v>90</v>
      </c>
      <c r="AX67" t="s">
        <v>90</v>
      </c>
      <c r="AY67" t="s">
        <v>90</v>
      </c>
      <c r="AZ67" t="s">
        <v>90</v>
      </c>
      <c r="BA67" t="s">
        <v>90</v>
      </c>
      <c r="BB67" t="s">
        <v>90</v>
      </c>
      <c r="BC67" t="s">
        <v>90</v>
      </c>
      <c r="BD67" t="s">
        <v>90</v>
      </c>
      <c r="BE67" t="s">
        <v>90</v>
      </c>
      <c r="BF67" t="s">
        <v>90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  <c r="BL67" t="s">
        <v>90</v>
      </c>
      <c r="BM67" t="s">
        <v>90</v>
      </c>
      <c r="BN67" t="s">
        <v>90</v>
      </c>
      <c r="BO67" t="s">
        <v>92</v>
      </c>
      <c r="BP67" t="s">
        <v>90</v>
      </c>
      <c r="BQ67" t="s">
        <v>90</v>
      </c>
      <c r="BR67" t="s">
        <v>163</v>
      </c>
    </row>
    <row r="68" spans="1:71" ht="15" customHeight="1" x14ac:dyDescent="0.25">
      <c r="A68" t="s">
        <v>661</v>
      </c>
      <c r="C68" t="s">
        <v>101</v>
      </c>
      <c r="D68" t="s">
        <v>175</v>
      </c>
      <c r="E68" t="s">
        <v>662</v>
      </c>
      <c r="L68" t="s">
        <v>663</v>
      </c>
      <c r="P68" t="s">
        <v>664</v>
      </c>
    </row>
    <row r="69" spans="1:71" ht="15" customHeight="1" x14ac:dyDescent="0.25">
      <c r="A69" t="s">
        <v>661</v>
      </c>
      <c r="B69" t="s">
        <v>665</v>
      </c>
      <c r="C69" t="s">
        <v>101</v>
      </c>
      <c r="D69" s="10" t="s">
        <v>246</v>
      </c>
      <c r="E69" t="s">
        <v>75</v>
      </c>
      <c r="G69" t="s">
        <v>350</v>
      </c>
      <c r="H69" t="s">
        <v>351</v>
      </c>
      <c r="I69" t="s">
        <v>78</v>
      </c>
      <c r="J69" t="s">
        <v>79</v>
      </c>
      <c r="K69" t="s">
        <v>80</v>
      </c>
      <c r="L69" t="s">
        <v>663</v>
      </c>
      <c r="M69" t="s">
        <v>666</v>
      </c>
      <c r="N69" t="s">
        <v>83</v>
      </c>
      <c r="O69" t="s">
        <v>84</v>
      </c>
      <c r="P69" t="s">
        <v>109</v>
      </c>
      <c r="Q69" t="s">
        <v>122</v>
      </c>
      <c r="S69" t="s">
        <v>189</v>
      </c>
      <c r="T69">
        <v>1</v>
      </c>
      <c r="U69">
        <v>2</v>
      </c>
      <c r="V69" t="s">
        <v>110</v>
      </c>
      <c r="W69" t="s">
        <v>88</v>
      </c>
      <c r="X69" t="s">
        <v>89</v>
      </c>
      <c r="Y69" t="s">
        <v>90</v>
      </c>
      <c r="Z69" t="s">
        <v>667</v>
      </c>
      <c r="AA69" t="s">
        <v>92</v>
      </c>
      <c r="AB69" t="s">
        <v>668</v>
      </c>
      <c r="AC69" s="1">
        <v>1.81382E+18</v>
      </c>
      <c r="AD69" t="s">
        <v>90</v>
      </c>
      <c r="AE69" t="s">
        <v>90</v>
      </c>
      <c r="AF69" t="s">
        <v>94</v>
      </c>
      <c r="AG69" t="s">
        <v>90</v>
      </c>
      <c r="AH69" t="s">
        <v>669</v>
      </c>
      <c r="AI69" t="s">
        <v>96</v>
      </c>
      <c r="AJ69" t="s">
        <v>92</v>
      </c>
      <c r="AK69" t="s">
        <v>92</v>
      </c>
      <c r="AL69" t="s">
        <v>97</v>
      </c>
      <c r="AM69" t="s">
        <v>90</v>
      </c>
      <c r="AN69" t="s">
        <v>90</v>
      </c>
      <c r="AO69" t="s">
        <v>90</v>
      </c>
      <c r="AP69" t="s">
        <v>90</v>
      </c>
      <c r="AQ69" t="s">
        <v>90</v>
      </c>
      <c r="AR69" t="s">
        <v>90</v>
      </c>
      <c r="AS69" t="s">
        <v>90</v>
      </c>
      <c r="AT69" t="s">
        <v>90</v>
      </c>
      <c r="AU69" t="s">
        <v>90</v>
      </c>
      <c r="AV69" t="s">
        <v>90</v>
      </c>
      <c r="AW69" t="s">
        <v>90</v>
      </c>
      <c r="AX69" t="s">
        <v>90</v>
      </c>
      <c r="AY69" t="s">
        <v>90</v>
      </c>
      <c r="AZ69" t="s">
        <v>90</v>
      </c>
      <c r="BA69" t="s">
        <v>90</v>
      </c>
      <c r="BB69" t="s">
        <v>90</v>
      </c>
      <c r="BC69" t="s">
        <v>90</v>
      </c>
      <c r="BD69" t="s">
        <v>90</v>
      </c>
      <c r="BE69" t="s">
        <v>90</v>
      </c>
      <c r="BF69" t="s">
        <v>90</v>
      </c>
      <c r="BG69" t="s">
        <v>90</v>
      </c>
      <c r="BH69" t="s">
        <v>90</v>
      </c>
      <c r="BI69" t="s">
        <v>90</v>
      </c>
      <c r="BJ69" t="s">
        <v>90</v>
      </c>
      <c r="BK69" t="s">
        <v>90</v>
      </c>
      <c r="BL69" t="s">
        <v>90</v>
      </c>
      <c r="BM69" t="s">
        <v>90</v>
      </c>
      <c r="BN69" t="s">
        <v>90</v>
      </c>
      <c r="BO69" t="s">
        <v>92</v>
      </c>
      <c r="BP69" t="s">
        <v>90</v>
      </c>
      <c r="BQ69" t="s">
        <v>90</v>
      </c>
      <c r="BR69" t="s">
        <v>588</v>
      </c>
    </row>
    <row r="70" spans="1:71" ht="15" customHeight="1" x14ac:dyDescent="0.25">
      <c r="A70" t="s">
        <v>670</v>
      </c>
      <c r="B70" t="s">
        <v>656</v>
      </c>
      <c r="C70" t="s">
        <v>101</v>
      </c>
      <c r="D70" s="10" t="s">
        <v>246</v>
      </c>
      <c r="E70" t="s">
        <v>75</v>
      </c>
      <c r="G70" t="s">
        <v>309</v>
      </c>
      <c r="H70" t="s">
        <v>310</v>
      </c>
      <c r="I70" t="s">
        <v>78</v>
      </c>
      <c r="J70" t="s">
        <v>79</v>
      </c>
      <c r="K70" t="s">
        <v>80</v>
      </c>
      <c r="L70" t="s">
        <v>671</v>
      </c>
      <c r="M70" t="s">
        <v>672</v>
      </c>
      <c r="N70" t="s">
        <v>83</v>
      </c>
      <c r="O70" t="s">
        <v>84</v>
      </c>
      <c r="P70" t="s">
        <v>109</v>
      </c>
      <c r="Q70" t="s">
        <v>122</v>
      </c>
      <c r="S70" t="s">
        <v>189</v>
      </c>
      <c r="T70">
        <v>1</v>
      </c>
      <c r="U70">
        <v>2</v>
      </c>
      <c r="V70" t="s">
        <v>110</v>
      </c>
      <c r="W70" t="s">
        <v>88</v>
      </c>
      <c r="X70" t="s">
        <v>89</v>
      </c>
      <c r="Y70" t="s">
        <v>90</v>
      </c>
      <c r="Z70" t="s">
        <v>90</v>
      </c>
      <c r="AA70" t="s">
        <v>92</v>
      </c>
      <c r="AB70" t="s">
        <v>673</v>
      </c>
      <c r="AC70" s="1">
        <v>1.82023E+18</v>
      </c>
      <c r="AD70" t="s">
        <v>90</v>
      </c>
      <c r="AE70" t="s">
        <v>90</v>
      </c>
      <c r="AF70" t="s">
        <v>94</v>
      </c>
      <c r="AG70" t="s">
        <v>90</v>
      </c>
      <c r="AH70" t="s">
        <v>674</v>
      </c>
      <c r="AI70" t="s">
        <v>96</v>
      </c>
      <c r="AJ70" t="s">
        <v>92</v>
      </c>
      <c r="AK70" t="s">
        <v>92</v>
      </c>
      <c r="AL70" t="s">
        <v>97</v>
      </c>
      <c r="AM70" t="s">
        <v>90</v>
      </c>
      <c r="AN70" t="s">
        <v>90</v>
      </c>
      <c r="AO70" t="s">
        <v>90</v>
      </c>
      <c r="AP70" t="s">
        <v>90</v>
      </c>
      <c r="AQ70" t="s">
        <v>90</v>
      </c>
      <c r="AR70" t="s">
        <v>90</v>
      </c>
      <c r="AS70" t="s">
        <v>90</v>
      </c>
      <c r="AT70" t="s">
        <v>90</v>
      </c>
      <c r="AU70" t="s">
        <v>90</v>
      </c>
      <c r="AV70" t="s">
        <v>90</v>
      </c>
      <c r="AW70" t="s">
        <v>90</v>
      </c>
      <c r="AX70" t="s">
        <v>90</v>
      </c>
      <c r="AY70" t="s">
        <v>90</v>
      </c>
      <c r="AZ70" t="s">
        <v>90</v>
      </c>
      <c r="BA70" t="s">
        <v>90</v>
      </c>
      <c r="BB70" t="s">
        <v>90</v>
      </c>
      <c r="BC70" t="s">
        <v>90</v>
      </c>
      <c r="BD70" t="s">
        <v>90</v>
      </c>
      <c r="BE70" t="s">
        <v>90</v>
      </c>
      <c r="BF70" t="s">
        <v>90</v>
      </c>
      <c r="BG70" t="s">
        <v>90</v>
      </c>
      <c r="BH70" t="s">
        <v>90</v>
      </c>
      <c r="BI70" t="s">
        <v>90</v>
      </c>
      <c r="BJ70" t="s">
        <v>90</v>
      </c>
      <c r="BK70" t="s">
        <v>90</v>
      </c>
      <c r="BL70" t="s">
        <v>90</v>
      </c>
      <c r="BM70" t="s">
        <v>90</v>
      </c>
      <c r="BN70" t="s">
        <v>90</v>
      </c>
      <c r="BO70" t="s">
        <v>92</v>
      </c>
      <c r="BP70" t="s">
        <v>90</v>
      </c>
      <c r="BQ70" t="s">
        <v>90</v>
      </c>
      <c r="BR70" t="s">
        <v>193</v>
      </c>
    </row>
    <row r="71" spans="1:71" ht="15" customHeight="1" x14ac:dyDescent="0.25">
      <c r="A71" s="15" t="s">
        <v>675</v>
      </c>
      <c r="B71" s="15" t="s">
        <v>676</v>
      </c>
      <c r="C71" t="s">
        <v>101</v>
      </c>
      <c r="D71" t="s">
        <v>512</v>
      </c>
      <c r="E71" t="s">
        <v>103</v>
      </c>
      <c r="G71" t="s">
        <v>677</v>
      </c>
      <c r="H71" s="15" t="s">
        <v>369</v>
      </c>
      <c r="Q71" t="s">
        <v>514</v>
      </c>
    </row>
    <row r="72" spans="1:71" ht="15" customHeight="1" x14ac:dyDescent="0.25">
      <c r="A72" t="s">
        <v>678</v>
      </c>
      <c r="B72" t="s">
        <v>679</v>
      </c>
      <c r="C72" t="s">
        <v>73</v>
      </c>
      <c r="D72" s="10" t="s">
        <v>301</v>
      </c>
      <c r="E72" t="s">
        <v>103</v>
      </c>
      <c r="G72" t="s">
        <v>463</v>
      </c>
      <c r="H72" t="s">
        <v>472</v>
      </c>
      <c r="I72" t="s">
        <v>200</v>
      </c>
      <c r="J72" t="s">
        <v>79</v>
      </c>
      <c r="K72" t="s">
        <v>80</v>
      </c>
      <c r="L72" t="s">
        <v>680</v>
      </c>
      <c r="M72" t="s">
        <v>681</v>
      </c>
      <c r="N72" t="s">
        <v>83</v>
      </c>
      <c r="O72" t="s">
        <v>84</v>
      </c>
      <c r="P72" t="s">
        <v>85</v>
      </c>
      <c r="T72">
        <v>1</v>
      </c>
      <c r="U72">
        <v>2</v>
      </c>
      <c r="V72" t="s">
        <v>110</v>
      </c>
      <c r="W72" t="s">
        <v>88</v>
      </c>
      <c r="X72" t="s">
        <v>89</v>
      </c>
      <c r="Y72" t="s">
        <v>90</v>
      </c>
      <c r="Z72" t="s">
        <v>682</v>
      </c>
      <c r="AA72" t="s">
        <v>92</v>
      </c>
      <c r="AB72" t="s">
        <v>683</v>
      </c>
      <c r="AC72" s="1">
        <v>1.87834E+18</v>
      </c>
      <c r="AD72" t="s">
        <v>90</v>
      </c>
      <c r="AE72" t="s">
        <v>90</v>
      </c>
      <c r="AF72" t="s">
        <v>94</v>
      </c>
      <c r="AG72" t="s">
        <v>90</v>
      </c>
      <c r="AH72" t="s">
        <v>684</v>
      </c>
      <c r="AI72" t="s">
        <v>96</v>
      </c>
      <c r="AJ72" t="s">
        <v>92</v>
      </c>
      <c r="AK72" t="s">
        <v>92</v>
      </c>
      <c r="AL72" t="s">
        <v>97</v>
      </c>
      <c r="AM72" t="s">
        <v>90</v>
      </c>
      <c r="AN72" t="s">
        <v>90</v>
      </c>
      <c r="AO72" t="s">
        <v>90</v>
      </c>
      <c r="AP72" t="s">
        <v>90</v>
      </c>
      <c r="AQ72" t="s">
        <v>90</v>
      </c>
      <c r="AR72" t="s">
        <v>90</v>
      </c>
      <c r="AS72" t="s">
        <v>90</v>
      </c>
      <c r="AT72" t="s">
        <v>90</v>
      </c>
      <c r="AU72" t="s">
        <v>90</v>
      </c>
      <c r="AV72" t="s">
        <v>90</v>
      </c>
      <c r="AW72" t="s">
        <v>90</v>
      </c>
      <c r="AX72" t="s">
        <v>90</v>
      </c>
      <c r="AY72" t="s">
        <v>90</v>
      </c>
      <c r="AZ72" t="s">
        <v>90</v>
      </c>
      <c r="BA72" t="s">
        <v>90</v>
      </c>
      <c r="BB72" t="s">
        <v>90</v>
      </c>
      <c r="BC72" t="s">
        <v>90</v>
      </c>
      <c r="BD72" t="s">
        <v>90</v>
      </c>
      <c r="BE72" t="s">
        <v>90</v>
      </c>
      <c r="BF72" t="s">
        <v>90</v>
      </c>
      <c r="BG72" t="s">
        <v>90</v>
      </c>
      <c r="BH72" t="s">
        <v>90</v>
      </c>
      <c r="BI72" t="s">
        <v>90</v>
      </c>
      <c r="BJ72" t="s">
        <v>90</v>
      </c>
      <c r="BK72" t="s">
        <v>90</v>
      </c>
      <c r="BL72" t="s">
        <v>90</v>
      </c>
      <c r="BM72" t="s">
        <v>90</v>
      </c>
      <c r="BN72" t="s">
        <v>90</v>
      </c>
      <c r="BO72" t="s">
        <v>92</v>
      </c>
      <c r="BP72" t="s">
        <v>90</v>
      </c>
      <c r="BQ72" t="s">
        <v>90</v>
      </c>
    </row>
    <row r="73" spans="1:71" ht="15" customHeight="1" x14ac:dyDescent="0.25">
      <c r="A73" s="2" t="s">
        <v>685</v>
      </c>
      <c r="B73" s="2" t="s">
        <v>686</v>
      </c>
      <c r="C73" s="2" t="s">
        <v>73</v>
      </c>
      <c r="D73" s="13" t="s">
        <v>687</v>
      </c>
      <c r="E73" s="2" t="s">
        <v>103</v>
      </c>
      <c r="F73" s="2"/>
      <c r="G73" s="2" t="s">
        <v>504</v>
      </c>
      <c r="H73" s="2" t="s">
        <v>472</v>
      </c>
      <c r="I73" t="s">
        <v>200</v>
      </c>
      <c r="J73" t="s">
        <v>79</v>
      </c>
      <c r="K73" t="s">
        <v>80</v>
      </c>
      <c r="L73" s="2" t="s">
        <v>688</v>
      </c>
      <c r="M73" s="2" t="s">
        <v>689</v>
      </c>
      <c r="N73" t="s">
        <v>83</v>
      </c>
      <c r="O73" s="2" t="s">
        <v>84</v>
      </c>
      <c r="P73" s="2" t="s">
        <v>85</v>
      </c>
      <c r="Q73" s="2"/>
      <c r="R73" s="2"/>
      <c r="T73">
        <v>1</v>
      </c>
      <c r="U73">
        <v>2</v>
      </c>
      <c r="V73" t="s">
        <v>110</v>
      </c>
      <c r="W73" t="s">
        <v>88</v>
      </c>
      <c r="X73" t="s">
        <v>89</v>
      </c>
      <c r="Y73" t="s">
        <v>90</v>
      </c>
      <c r="Z73" t="s">
        <v>690</v>
      </c>
      <c r="AA73" t="s">
        <v>92</v>
      </c>
      <c r="AB73" t="s">
        <v>691</v>
      </c>
      <c r="AC73" s="1">
        <v>1.87605E+18</v>
      </c>
      <c r="AD73" t="s">
        <v>90</v>
      </c>
      <c r="AE73" t="s">
        <v>90</v>
      </c>
      <c r="AF73" t="s">
        <v>94</v>
      </c>
      <c r="AG73" t="s">
        <v>90</v>
      </c>
      <c r="AH73" t="s">
        <v>692</v>
      </c>
      <c r="AI73" t="s">
        <v>96</v>
      </c>
      <c r="AJ73" t="s">
        <v>92</v>
      </c>
      <c r="AK73" t="s">
        <v>92</v>
      </c>
      <c r="AL73" t="s">
        <v>97</v>
      </c>
      <c r="AM73" t="s">
        <v>90</v>
      </c>
      <c r="AN73" t="s">
        <v>90</v>
      </c>
      <c r="AO73" t="s">
        <v>90</v>
      </c>
      <c r="AP73" t="s">
        <v>90</v>
      </c>
      <c r="AQ73" t="s">
        <v>90</v>
      </c>
      <c r="AR73" t="s">
        <v>90</v>
      </c>
      <c r="AS73" t="s">
        <v>90</v>
      </c>
      <c r="AT73" t="s">
        <v>90</v>
      </c>
      <c r="AU73" t="s">
        <v>90</v>
      </c>
      <c r="AV73" t="s">
        <v>90</v>
      </c>
      <c r="AW73" t="s">
        <v>90</v>
      </c>
      <c r="AX73" t="s">
        <v>90</v>
      </c>
      <c r="AY73" t="s">
        <v>90</v>
      </c>
      <c r="AZ73" t="s">
        <v>90</v>
      </c>
      <c r="BA73" t="s">
        <v>90</v>
      </c>
      <c r="BB73" t="s">
        <v>90</v>
      </c>
      <c r="BC73" t="s">
        <v>90</v>
      </c>
      <c r="BD73" t="s">
        <v>90</v>
      </c>
      <c r="BE73" t="s">
        <v>90</v>
      </c>
      <c r="BF73" t="s">
        <v>90</v>
      </c>
      <c r="BG73" t="s">
        <v>90</v>
      </c>
      <c r="BH73" t="s">
        <v>90</v>
      </c>
      <c r="BI73" t="s">
        <v>90</v>
      </c>
      <c r="BJ73" t="s">
        <v>90</v>
      </c>
      <c r="BK73" t="s">
        <v>90</v>
      </c>
      <c r="BL73" t="s">
        <v>90</v>
      </c>
      <c r="BM73" t="s">
        <v>90</v>
      </c>
      <c r="BN73" t="s">
        <v>90</v>
      </c>
      <c r="BO73" t="s">
        <v>92</v>
      </c>
      <c r="BP73" t="s">
        <v>90</v>
      </c>
      <c r="BQ73" t="s">
        <v>90</v>
      </c>
      <c r="BR73" s="2"/>
      <c r="BS73" t="s">
        <v>478</v>
      </c>
    </row>
    <row r="74" spans="1:71" ht="15" customHeight="1" x14ac:dyDescent="0.25">
      <c r="A74" t="s">
        <v>693</v>
      </c>
      <c r="B74" t="s">
        <v>694</v>
      </c>
      <c r="C74" t="s">
        <v>73</v>
      </c>
      <c r="D74" s="10" t="s">
        <v>462</v>
      </c>
      <c r="E74" t="s">
        <v>103</v>
      </c>
      <c r="G74" t="s">
        <v>695</v>
      </c>
      <c r="H74" t="s">
        <v>419</v>
      </c>
      <c r="I74" t="s">
        <v>200</v>
      </c>
      <c r="J74" t="s">
        <v>79</v>
      </c>
      <c r="K74" t="s">
        <v>80</v>
      </c>
      <c r="L74" t="s">
        <v>696</v>
      </c>
      <c r="M74" t="s">
        <v>697</v>
      </c>
      <c r="N74" t="s">
        <v>83</v>
      </c>
      <c r="O74" t="s">
        <v>84</v>
      </c>
      <c r="P74" t="s">
        <v>109</v>
      </c>
      <c r="T74">
        <v>1</v>
      </c>
      <c r="U74">
        <v>2</v>
      </c>
      <c r="V74" t="s">
        <v>110</v>
      </c>
      <c r="W74" t="s">
        <v>88</v>
      </c>
      <c r="X74" t="s">
        <v>89</v>
      </c>
      <c r="Y74" t="s">
        <v>90</v>
      </c>
      <c r="Z74" t="s">
        <v>698</v>
      </c>
      <c r="AA74" t="s">
        <v>92</v>
      </c>
      <c r="AB74" t="s">
        <v>699</v>
      </c>
      <c r="AC74" s="1">
        <v>1.70124E+18</v>
      </c>
      <c r="AD74" t="s">
        <v>90</v>
      </c>
      <c r="AE74" t="s">
        <v>90</v>
      </c>
      <c r="AF74" t="s">
        <v>94</v>
      </c>
      <c r="AG74" t="s">
        <v>90</v>
      </c>
      <c r="AH74" t="s">
        <v>700</v>
      </c>
      <c r="AI74" t="s">
        <v>96</v>
      </c>
      <c r="AJ74" t="s">
        <v>92</v>
      </c>
      <c r="AK74" t="s">
        <v>92</v>
      </c>
      <c r="AL74" t="s">
        <v>97</v>
      </c>
      <c r="AM74" t="s">
        <v>90</v>
      </c>
      <c r="AN74" t="s">
        <v>90</v>
      </c>
      <c r="AO74" t="s">
        <v>90</v>
      </c>
      <c r="AP74" t="s">
        <v>90</v>
      </c>
      <c r="AQ74" t="s">
        <v>90</v>
      </c>
      <c r="AR74" t="s">
        <v>90</v>
      </c>
      <c r="AS74" t="s">
        <v>90</v>
      </c>
      <c r="AT74" t="s">
        <v>90</v>
      </c>
      <c r="AU74" t="s">
        <v>90</v>
      </c>
      <c r="AV74" t="s">
        <v>90</v>
      </c>
      <c r="AW74" t="s">
        <v>90</v>
      </c>
      <c r="AX74" t="s">
        <v>90</v>
      </c>
      <c r="AY74" t="s">
        <v>90</v>
      </c>
      <c r="AZ74" t="s">
        <v>90</v>
      </c>
      <c r="BA74" t="s">
        <v>90</v>
      </c>
      <c r="BB74" t="s">
        <v>90</v>
      </c>
      <c r="BC74" t="s">
        <v>90</v>
      </c>
      <c r="BD74" t="s">
        <v>90</v>
      </c>
      <c r="BE74" t="s">
        <v>90</v>
      </c>
      <c r="BF74" t="s">
        <v>90</v>
      </c>
      <c r="BG74" t="s">
        <v>90</v>
      </c>
      <c r="BH74" t="s">
        <v>90</v>
      </c>
      <c r="BI74" t="s">
        <v>90</v>
      </c>
      <c r="BJ74" t="s">
        <v>90</v>
      </c>
      <c r="BK74" t="s">
        <v>90</v>
      </c>
      <c r="BL74" t="s">
        <v>90</v>
      </c>
      <c r="BM74" t="s">
        <v>90</v>
      </c>
      <c r="BN74" t="s">
        <v>90</v>
      </c>
      <c r="BO74" t="s">
        <v>92</v>
      </c>
      <c r="BP74" t="s">
        <v>90</v>
      </c>
      <c r="BQ74" t="s">
        <v>90</v>
      </c>
    </row>
    <row r="75" spans="1:71" x14ac:dyDescent="0.25">
      <c r="A75" s="2" t="s">
        <v>701</v>
      </c>
      <c r="B75" s="2" t="s">
        <v>702</v>
      </c>
      <c r="C75" s="2" t="s">
        <v>73</v>
      </c>
      <c r="D75" s="13" t="s">
        <v>703</v>
      </c>
      <c r="E75" s="2" t="s">
        <v>103</v>
      </c>
      <c r="F75" s="2"/>
      <c r="G75" s="2" t="s">
        <v>280</v>
      </c>
      <c r="H75" s="2" t="s">
        <v>281</v>
      </c>
      <c r="I75" t="s">
        <v>200</v>
      </c>
      <c r="J75" t="s">
        <v>79</v>
      </c>
      <c r="K75" t="s">
        <v>80</v>
      </c>
      <c r="L75" s="2" t="s">
        <v>704</v>
      </c>
      <c r="M75" s="2" t="s">
        <v>705</v>
      </c>
      <c r="N75" t="s">
        <v>83</v>
      </c>
      <c r="O75" s="2" t="s">
        <v>84</v>
      </c>
      <c r="P75" s="2" t="s">
        <v>85</v>
      </c>
      <c r="Q75" s="2"/>
      <c r="R75" s="2"/>
      <c r="T75">
        <v>1</v>
      </c>
      <c r="U75">
        <v>2</v>
      </c>
      <c r="V75" t="s">
        <v>110</v>
      </c>
      <c r="W75" t="s">
        <v>88</v>
      </c>
      <c r="X75" t="s">
        <v>89</v>
      </c>
      <c r="Y75" t="s">
        <v>90</v>
      </c>
      <c r="Z75" t="s">
        <v>706</v>
      </c>
      <c r="AA75" t="s">
        <v>92</v>
      </c>
      <c r="AB75" t="s">
        <v>707</v>
      </c>
      <c r="AC75" s="1">
        <v>1.7056E+18</v>
      </c>
      <c r="AD75" t="s">
        <v>90</v>
      </c>
      <c r="AE75" t="s">
        <v>90</v>
      </c>
      <c r="AF75" t="s">
        <v>94</v>
      </c>
      <c r="AG75" t="s">
        <v>90</v>
      </c>
      <c r="AH75" t="s">
        <v>708</v>
      </c>
      <c r="AI75" t="s">
        <v>96</v>
      </c>
      <c r="AJ75" t="s">
        <v>92</v>
      </c>
      <c r="AK75" t="s">
        <v>92</v>
      </c>
      <c r="AL75" t="s">
        <v>97</v>
      </c>
      <c r="AM75" t="s">
        <v>90</v>
      </c>
      <c r="AN75" t="s">
        <v>90</v>
      </c>
      <c r="AO75" t="s">
        <v>90</v>
      </c>
      <c r="AP75" t="s">
        <v>90</v>
      </c>
      <c r="AQ75" t="s">
        <v>90</v>
      </c>
      <c r="AR75" t="s">
        <v>90</v>
      </c>
      <c r="AS75" t="s">
        <v>90</v>
      </c>
      <c r="AT75" t="s">
        <v>90</v>
      </c>
      <c r="AU75" t="s">
        <v>90</v>
      </c>
      <c r="AV75" t="s">
        <v>90</v>
      </c>
      <c r="AW75" t="s">
        <v>90</v>
      </c>
      <c r="AX75" t="s">
        <v>90</v>
      </c>
      <c r="AY75" t="s">
        <v>90</v>
      </c>
      <c r="AZ75" t="s">
        <v>90</v>
      </c>
      <c r="BA75" t="s">
        <v>90</v>
      </c>
      <c r="BB75" t="s">
        <v>90</v>
      </c>
      <c r="BC75" t="s">
        <v>90</v>
      </c>
      <c r="BD75" t="s">
        <v>90</v>
      </c>
      <c r="BE75" t="s">
        <v>90</v>
      </c>
      <c r="BF75" t="s">
        <v>90</v>
      </c>
      <c r="BG75" t="s">
        <v>90</v>
      </c>
      <c r="BH75" t="s">
        <v>90</v>
      </c>
      <c r="BI75" t="s">
        <v>90</v>
      </c>
      <c r="BJ75" t="s">
        <v>90</v>
      </c>
      <c r="BK75" t="s">
        <v>90</v>
      </c>
      <c r="BL75" t="s">
        <v>90</v>
      </c>
      <c r="BM75" t="s">
        <v>90</v>
      </c>
      <c r="BN75" t="s">
        <v>90</v>
      </c>
      <c r="BO75" t="s">
        <v>92</v>
      </c>
      <c r="BP75" t="s">
        <v>90</v>
      </c>
      <c r="BQ75" t="s">
        <v>90</v>
      </c>
      <c r="BR75" s="2"/>
      <c r="BS75" t="s">
        <v>288</v>
      </c>
    </row>
    <row r="76" spans="1:71" x14ac:dyDescent="0.25">
      <c r="A76" s="5" t="s">
        <v>709</v>
      </c>
      <c r="B76" s="5" t="s">
        <v>710</v>
      </c>
      <c r="C76" s="5" t="s">
        <v>73</v>
      </c>
      <c r="D76" s="5" t="s">
        <v>610</v>
      </c>
      <c r="E76" s="5" t="s">
        <v>103</v>
      </c>
      <c r="F76" s="5" t="s">
        <v>611</v>
      </c>
      <c r="G76" s="5" t="s">
        <v>280</v>
      </c>
      <c r="H76" s="5" t="s">
        <v>281</v>
      </c>
      <c r="I76" t="s">
        <v>200</v>
      </c>
      <c r="J76" t="s">
        <v>79</v>
      </c>
      <c r="K76" t="s">
        <v>80</v>
      </c>
      <c r="L76" s="5" t="s">
        <v>711</v>
      </c>
      <c r="M76" s="5" t="s">
        <v>712</v>
      </c>
      <c r="N76" t="s">
        <v>83</v>
      </c>
      <c r="O76" s="5" t="s">
        <v>84</v>
      </c>
      <c r="P76" s="5" t="s">
        <v>85</v>
      </c>
      <c r="Q76" s="5"/>
      <c r="R76" s="5"/>
      <c r="T76">
        <v>1</v>
      </c>
      <c r="U76">
        <v>2</v>
      </c>
      <c r="V76" t="s">
        <v>87</v>
      </c>
      <c r="W76" t="s">
        <v>88</v>
      </c>
      <c r="X76" t="s">
        <v>89</v>
      </c>
      <c r="Y76" t="s">
        <v>90</v>
      </c>
      <c r="Z76" t="s">
        <v>713</v>
      </c>
      <c r="AA76" t="s">
        <v>92</v>
      </c>
      <c r="AB76" t="s">
        <v>714</v>
      </c>
      <c r="AC76" s="1">
        <v>1.77393E+18</v>
      </c>
      <c r="AD76" t="s">
        <v>90</v>
      </c>
      <c r="AE76" t="s">
        <v>90</v>
      </c>
      <c r="AF76" t="s">
        <v>94</v>
      </c>
      <c r="AG76" t="s">
        <v>90</v>
      </c>
      <c r="AH76" t="s">
        <v>715</v>
      </c>
      <c r="AI76" t="s">
        <v>96</v>
      </c>
      <c r="AJ76" t="s">
        <v>92</v>
      </c>
      <c r="AK76" t="s">
        <v>92</v>
      </c>
      <c r="AL76" t="s">
        <v>97</v>
      </c>
      <c r="AM76" t="s">
        <v>90</v>
      </c>
      <c r="AN76" t="s">
        <v>90</v>
      </c>
      <c r="AO76" t="s">
        <v>90</v>
      </c>
      <c r="AP76" t="s">
        <v>90</v>
      </c>
      <c r="AQ76" t="s">
        <v>90</v>
      </c>
      <c r="AR76" t="s">
        <v>90</v>
      </c>
      <c r="AS76" t="s">
        <v>90</v>
      </c>
      <c r="AT76" t="s">
        <v>90</v>
      </c>
      <c r="AU76" t="s">
        <v>90</v>
      </c>
      <c r="AV76" t="s">
        <v>90</v>
      </c>
      <c r="AW76" t="s">
        <v>90</v>
      </c>
      <c r="AX76" t="s">
        <v>90</v>
      </c>
      <c r="AY76" t="s">
        <v>90</v>
      </c>
      <c r="AZ76" t="s">
        <v>90</v>
      </c>
      <c r="BA76" t="s">
        <v>90</v>
      </c>
      <c r="BB76" t="s">
        <v>90</v>
      </c>
      <c r="BC76" t="s">
        <v>90</v>
      </c>
      <c r="BD76" t="s">
        <v>90</v>
      </c>
      <c r="BE76" t="s">
        <v>90</v>
      </c>
      <c r="BF76" t="s">
        <v>90</v>
      </c>
      <c r="BG76" t="s">
        <v>90</v>
      </c>
      <c r="BH76" t="s">
        <v>90</v>
      </c>
      <c r="BI76" t="s">
        <v>90</v>
      </c>
      <c r="BJ76" t="s">
        <v>90</v>
      </c>
      <c r="BK76" t="s">
        <v>90</v>
      </c>
      <c r="BL76" t="s">
        <v>90</v>
      </c>
      <c r="BM76" t="s">
        <v>90</v>
      </c>
      <c r="BN76" t="s">
        <v>90</v>
      </c>
      <c r="BO76" t="s">
        <v>92</v>
      </c>
      <c r="BP76" t="s">
        <v>90</v>
      </c>
      <c r="BQ76" t="s">
        <v>90</v>
      </c>
      <c r="BR76" s="5"/>
      <c r="BS76" t="s">
        <v>716</v>
      </c>
    </row>
    <row r="77" spans="1:71" x14ac:dyDescent="0.25">
      <c r="A77" t="s">
        <v>717</v>
      </c>
      <c r="B77" t="s">
        <v>718</v>
      </c>
      <c r="C77" t="s">
        <v>101</v>
      </c>
      <c r="D77" t="s">
        <v>719</v>
      </c>
      <c r="E77" t="s">
        <v>75</v>
      </c>
      <c r="F77" t="s">
        <v>186</v>
      </c>
      <c r="G77" t="s">
        <v>341</v>
      </c>
      <c r="H77" t="s">
        <v>342</v>
      </c>
      <c r="I77" t="s">
        <v>78</v>
      </c>
      <c r="J77" t="s">
        <v>79</v>
      </c>
      <c r="K77" t="s">
        <v>80</v>
      </c>
      <c r="L77" t="s">
        <v>720</v>
      </c>
      <c r="M77" t="s">
        <v>721</v>
      </c>
      <c r="N77" t="s">
        <v>83</v>
      </c>
      <c r="O77" t="s">
        <v>84</v>
      </c>
      <c r="P77" t="s">
        <v>85</v>
      </c>
      <c r="S77" t="s">
        <v>189</v>
      </c>
      <c r="T77">
        <v>1</v>
      </c>
      <c r="U77">
        <v>4</v>
      </c>
      <c r="V77" t="s">
        <v>110</v>
      </c>
      <c r="W77" t="s">
        <v>88</v>
      </c>
      <c r="X77" t="s">
        <v>89</v>
      </c>
      <c r="Y77" t="s">
        <v>90</v>
      </c>
      <c r="Z77" t="s">
        <v>722</v>
      </c>
      <c r="AA77" t="s">
        <v>92</v>
      </c>
      <c r="AB77" t="s">
        <v>723</v>
      </c>
      <c r="AC77" s="1">
        <v>1.70282E+18</v>
      </c>
      <c r="AD77" t="s">
        <v>90</v>
      </c>
      <c r="AE77" t="s">
        <v>90</v>
      </c>
      <c r="AF77" t="s">
        <v>94</v>
      </c>
      <c r="AG77" t="s">
        <v>90</v>
      </c>
      <c r="AH77" t="s">
        <v>724</v>
      </c>
      <c r="AI77" t="s">
        <v>96</v>
      </c>
      <c r="AJ77" t="s">
        <v>92</v>
      </c>
      <c r="AK77" t="s">
        <v>92</v>
      </c>
      <c r="AL77" t="s">
        <v>97</v>
      </c>
      <c r="AM77" t="s">
        <v>90</v>
      </c>
      <c r="AN77" t="s">
        <v>90</v>
      </c>
      <c r="AO77" t="s">
        <v>90</v>
      </c>
      <c r="AP77" t="s">
        <v>90</v>
      </c>
      <c r="AQ77" t="s">
        <v>90</v>
      </c>
      <c r="AR77" t="s">
        <v>90</v>
      </c>
      <c r="AS77" t="s">
        <v>90</v>
      </c>
      <c r="AT77" t="s">
        <v>90</v>
      </c>
      <c r="AU77" t="s">
        <v>90</v>
      </c>
      <c r="AV77" t="s">
        <v>90</v>
      </c>
      <c r="AW77" t="s">
        <v>90</v>
      </c>
      <c r="AX77" t="s">
        <v>90</v>
      </c>
      <c r="AY77" t="s">
        <v>90</v>
      </c>
      <c r="AZ77" t="s">
        <v>90</v>
      </c>
      <c r="BA77" t="s">
        <v>90</v>
      </c>
      <c r="BB77" t="s">
        <v>90</v>
      </c>
      <c r="BC77" t="s">
        <v>90</v>
      </c>
      <c r="BD77" t="s">
        <v>90</v>
      </c>
      <c r="BE77" t="s">
        <v>90</v>
      </c>
      <c r="BF77" t="s">
        <v>90</v>
      </c>
      <c r="BG77" t="s">
        <v>90</v>
      </c>
      <c r="BH77" t="s">
        <v>90</v>
      </c>
      <c r="BI77" t="s">
        <v>90</v>
      </c>
      <c r="BJ77" t="s">
        <v>90</v>
      </c>
      <c r="BK77" t="s">
        <v>90</v>
      </c>
      <c r="BL77" t="s">
        <v>90</v>
      </c>
      <c r="BM77" t="s">
        <v>90</v>
      </c>
      <c r="BN77" t="s">
        <v>90</v>
      </c>
      <c r="BO77" t="s">
        <v>92</v>
      </c>
      <c r="BP77" t="s">
        <v>90</v>
      </c>
      <c r="BQ77" t="s">
        <v>90</v>
      </c>
      <c r="BR77" t="s">
        <v>725</v>
      </c>
    </row>
    <row r="78" spans="1:71" x14ac:dyDescent="0.25">
      <c r="A78" t="s">
        <v>726</v>
      </c>
      <c r="C78" t="s">
        <v>101</v>
      </c>
      <c r="D78" s="10" t="s">
        <v>175</v>
      </c>
      <c r="E78" t="s">
        <v>75</v>
      </c>
      <c r="L78" t="s">
        <v>727</v>
      </c>
      <c r="O78" t="s">
        <v>84</v>
      </c>
      <c r="P78" t="s">
        <v>109</v>
      </c>
      <c r="Q78" t="s">
        <v>122</v>
      </c>
      <c r="S78" t="s">
        <v>86</v>
      </c>
      <c r="BR78" t="s">
        <v>182</v>
      </c>
    </row>
    <row r="79" spans="1:71" x14ac:dyDescent="0.25">
      <c r="A79" s="3" t="s">
        <v>728</v>
      </c>
      <c r="B79" s="3" t="s">
        <v>729</v>
      </c>
      <c r="C79" s="3" t="s">
        <v>73</v>
      </c>
      <c r="D79" s="14" t="s">
        <v>359</v>
      </c>
      <c r="E79" s="3" t="s">
        <v>103</v>
      </c>
      <c r="F79" s="3"/>
      <c r="G79" s="3" t="s">
        <v>730</v>
      </c>
      <c r="H79" s="3" t="s">
        <v>472</v>
      </c>
      <c r="I79" t="s">
        <v>200</v>
      </c>
      <c r="J79" t="s">
        <v>731</v>
      </c>
      <c r="K79" t="s">
        <v>80</v>
      </c>
      <c r="L79" s="3" t="s">
        <v>732</v>
      </c>
      <c r="M79" s="3" t="s">
        <v>733</v>
      </c>
      <c r="N79" t="s">
        <v>83</v>
      </c>
      <c r="O79" s="3" t="s">
        <v>84</v>
      </c>
      <c r="P79" s="3" t="s">
        <v>85</v>
      </c>
      <c r="Q79" s="3"/>
      <c r="R79" s="3"/>
      <c r="T79">
        <v>1</v>
      </c>
      <c r="U79">
        <v>2</v>
      </c>
      <c r="V79" t="s">
        <v>87</v>
      </c>
      <c r="W79" t="s">
        <v>88</v>
      </c>
      <c r="X79" t="s">
        <v>89</v>
      </c>
      <c r="Y79" t="s">
        <v>90</v>
      </c>
      <c r="Z79" t="s">
        <v>734</v>
      </c>
      <c r="AA79" t="s">
        <v>92</v>
      </c>
      <c r="AB79" t="s">
        <v>735</v>
      </c>
      <c r="AC79" s="1">
        <v>1.82022E+18</v>
      </c>
      <c r="AD79" t="s">
        <v>90</v>
      </c>
      <c r="AE79" t="s">
        <v>90</v>
      </c>
      <c r="AF79" t="s">
        <v>94</v>
      </c>
      <c r="AG79" t="s">
        <v>90</v>
      </c>
      <c r="AH79" t="s">
        <v>736</v>
      </c>
      <c r="AI79" t="s">
        <v>96</v>
      </c>
      <c r="AJ79" t="s">
        <v>92</v>
      </c>
      <c r="AK79" t="s">
        <v>92</v>
      </c>
      <c r="AL79" t="s">
        <v>97</v>
      </c>
      <c r="AM79" t="s">
        <v>90</v>
      </c>
      <c r="AN79" t="s">
        <v>90</v>
      </c>
      <c r="AO79" t="s">
        <v>90</v>
      </c>
      <c r="AP79" t="s">
        <v>90</v>
      </c>
      <c r="AQ79" t="s">
        <v>90</v>
      </c>
      <c r="AR79" t="s">
        <v>90</v>
      </c>
      <c r="AS79" t="s">
        <v>90</v>
      </c>
      <c r="AT79" t="s">
        <v>90</v>
      </c>
      <c r="AU79" t="s">
        <v>90</v>
      </c>
      <c r="AV79" t="s">
        <v>90</v>
      </c>
      <c r="AW79" t="s">
        <v>90</v>
      </c>
      <c r="AX79" t="s">
        <v>90</v>
      </c>
      <c r="AY79" t="s">
        <v>90</v>
      </c>
      <c r="AZ79" t="s">
        <v>90</v>
      </c>
      <c r="BA79" t="s">
        <v>90</v>
      </c>
      <c r="BB79" t="s">
        <v>90</v>
      </c>
      <c r="BC79" t="s">
        <v>90</v>
      </c>
      <c r="BD79" t="s">
        <v>90</v>
      </c>
      <c r="BE79" t="s">
        <v>90</v>
      </c>
      <c r="BF79" t="s">
        <v>90</v>
      </c>
      <c r="BG79" t="s">
        <v>90</v>
      </c>
      <c r="BH79" t="s">
        <v>90</v>
      </c>
      <c r="BI79" t="s">
        <v>90</v>
      </c>
      <c r="BJ79" t="s">
        <v>90</v>
      </c>
      <c r="BK79" t="s">
        <v>90</v>
      </c>
      <c r="BL79" t="s">
        <v>90</v>
      </c>
      <c r="BM79" t="s">
        <v>90</v>
      </c>
      <c r="BN79" t="s">
        <v>90</v>
      </c>
      <c r="BO79" t="s">
        <v>92</v>
      </c>
      <c r="BP79" t="s">
        <v>90</v>
      </c>
      <c r="BQ79" t="s">
        <v>90</v>
      </c>
      <c r="BR79" s="3"/>
    </row>
    <row r="80" spans="1:71" x14ac:dyDescent="0.25">
      <c r="A80" t="s">
        <v>737</v>
      </c>
      <c r="B80" t="s">
        <v>738</v>
      </c>
      <c r="C80" t="s">
        <v>417</v>
      </c>
      <c r="D80" t="s">
        <v>90</v>
      </c>
      <c r="E80" t="s">
        <v>75</v>
      </c>
      <c r="G80" t="s">
        <v>739</v>
      </c>
      <c r="H80" t="s">
        <v>740</v>
      </c>
      <c r="I80" t="s">
        <v>78</v>
      </c>
      <c r="J80" t="s">
        <v>79</v>
      </c>
      <c r="K80" t="s">
        <v>80</v>
      </c>
      <c r="L80" t="s">
        <v>741</v>
      </c>
      <c r="M80" t="s">
        <v>742</v>
      </c>
      <c r="N80" t="s">
        <v>83</v>
      </c>
      <c r="O80" t="s">
        <v>743</v>
      </c>
      <c r="P80" t="s">
        <v>744</v>
      </c>
      <c r="S80" t="s">
        <v>189</v>
      </c>
      <c r="T80">
        <v>1</v>
      </c>
      <c r="U80">
        <v>2</v>
      </c>
      <c r="V80" t="s">
        <v>87</v>
      </c>
      <c r="W80" t="s">
        <v>88</v>
      </c>
      <c r="X80" t="s">
        <v>89</v>
      </c>
      <c r="Y80" t="s">
        <v>90</v>
      </c>
      <c r="Z80" t="s">
        <v>745</v>
      </c>
      <c r="AA80" t="s">
        <v>92</v>
      </c>
      <c r="AB80" t="s">
        <v>746</v>
      </c>
      <c r="AC80" s="1">
        <v>1.86311E+18</v>
      </c>
      <c r="AD80" t="s">
        <v>90</v>
      </c>
      <c r="AE80" t="s">
        <v>90</v>
      </c>
      <c r="AF80" t="s">
        <v>94</v>
      </c>
      <c r="AG80" t="s">
        <v>90</v>
      </c>
      <c r="AH80" t="s">
        <v>747</v>
      </c>
      <c r="AI80" t="s">
        <v>96</v>
      </c>
      <c r="AJ80" t="s">
        <v>92</v>
      </c>
      <c r="AK80" t="s">
        <v>92</v>
      </c>
      <c r="AL80" t="s">
        <v>97</v>
      </c>
      <c r="AM80" t="s">
        <v>90</v>
      </c>
      <c r="AN80" t="s">
        <v>90</v>
      </c>
      <c r="AO80" t="s">
        <v>90</v>
      </c>
      <c r="AP80" t="s">
        <v>90</v>
      </c>
      <c r="AQ80" t="s">
        <v>90</v>
      </c>
      <c r="AR80" t="s">
        <v>90</v>
      </c>
      <c r="AS80" t="s">
        <v>90</v>
      </c>
      <c r="AT80" t="s">
        <v>90</v>
      </c>
      <c r="AU80" t="s">
        <v>90</v>
      </c>
      <c r="AV80" t="s">
        <v>90</v>
      </c>
      <c r="AW80" t="s">
        <v>90</v>
      </c>
      <c r="AX80" t="s">
        <v>90</v>
      </c>
      <c r="AY80" t="s">
        <v>90</v>
      </c>
      <c r="AZ80" t="s">
        <v>90</v>
      </c>
      <c r="BA80" t="s">
        <v>90</v>
      </c>
      <c r="BB80" t="s">
        <v>90</v>
      </c>
      <c r="BC80" t="s">
        <v>90</v>
      </c>
      <c r="BD80" t="s">
        <v>90</v>
      </c>
      <c r="BE80" t="s">
        <v>90</v>
      </c>
      <c r="BF80" t="s">
        <v>90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90</v>
      </c>
      <c r="BM80" t="s">
        <v>90</v>
      </c>
      <c r="BN80" t="s">
        <v>90</v>
      </c>
      <c r="BO80" t="s">
        <v>92</v>
      </c>
      <c r="BP80" t="s">
        <v>90</v>
      </c>
      <c r="BQ80" t="s">
        <v>90</v>
      </c>
      <c r="BR80" t="s">
        <v>748</v>
      </c>
    </row>
    <row r="81" spans="1:70" ht="15" customHeight="1" x14ac:dyDescent="0.25">
      <c r="A81" t="s">
        <v>749</v>
      </c>
      <c r="B81" t="s">
        <v>609</v>
      </c>
      <c r="C81" t="s">
        <v>417</v>
      </c>
      <c r="D81" t="s">
        <v>90</v>
      </c>
      <c r="E81" t="s">
        <v>75</v>
      </c>
      <c r="G81" t="s">
        <v>739</v>
      </c>
      <c r="H81" t="s">
        <v>740</v>
      </c>
      <c r="I81" t="s">
        <v>78</v>
      </c>
      <c r="J81" t="s">
        <v>79</v>
      </c>
      <c r="K81" t="s">
        <v>80</v>
      </c>
      <c r="L81" t="s">
        <v>741</v>
      </c>
      <c r="M81" t="s">
        <v>750</v>
      </c>
      <c r="N81" t="s">
        <v>83</v>
      </c>
      <c r="O81" t="s">
        <v>743</v>
      </c>
      <c r="P81" t="s">
        <v>744</v>
      </c>
      <c r="S81" t="s">
        <v>189</v>
      </c>
      <c r="T81">
        <v>1</v>
      </c>
      <c r="U81">
        <v>2</v>
      </c>
      <c r="V81" t="s">
        <v>110</v>
      </c>
      <c r="W81" t="s">
        <v>88</v>
      </c>
      <c r="X81" t="s">
        <v>89</v>
      </c>
      <c r="Y81" t="s">
        <v>90</v>
      </c>
      <c r="Z81" t="s">
        <v>751</v>
      </c>
      <c r="AA81" t="s">
        <v>92</v>
      </c>
      <c r="AB81" t="s">
        <v>752</v>
      </c>
      <c r="AC81" s="1">
        <v>1.70362E+18</v>
      </c>
      <c r="AD81" t="s">
        <v>90</v>
      </c>
      <c r="AE81" t="s">
        <v>90</v>
      </c>
      <c r="AF81" t="s">
        <v>94</v>
      </c>
      <c r="AG81" t="s">
        <v>90</v>
      </c>
      <c r="AH81" t="s">
        <v>753</v>
      </c>
      <c r="AI81" t="s">
        <v>96</v>
      </c>
      <c r="AJ81" t="s">
        <v>92</v>
      </c>
      <c r="AK81" t="s">
        <v>92</v>
      </c>
      <c r="AL81" t="s">
        <v>97</v>
      </c>
      <c r="AM81" t="s">
        <v>90</v>
      </c>
      <c r="AN81" t="s">
        <v>90</v>
      </c>
      <c r="AO81" t="s">
        <v>90</v>
      </c>
      <c r="AP81" t="s">
        <v>90</v>
      </c>
      <c r="AQ81" t="s">
        <v>90</v>
      </c>
      <c r="AR81" t="s">
        <v>90</v>
      </c>
      <c r="AS81" t="s">
        <v>90</v>
      </c>
      <c r="AT81" t="s">
        <v>90</v>
      </c>
      <c r="AU81" t="s">
        <v>90</v>
      </c>
      <c r="AV81" t="s">
        <v>90</v>
      </c>
      <c r="AW81" t="s">
        <v>90</v>
      </c>
      <c r="AX81" t="s">
        <v>90</v>
      </c>
      <c r="AY81" t="s">
        <v>90</v>
      </c>
      <c r="AZ81" t="s">
        <v>90</v>
      </c>
      <c r="BA81" t="s">
        <v>90</v>
      </c>
      <c r="BB81" t="s">
        <v>90</v>
      </c>
      <c r="BC81" t="s">
        <v>90</v>
      </c>
      <c r="BD81" t="s">
        <v>90</v>
      </c>
      <c r="BE81" t="s">
        <v>90</v>
      </c>
      <c r="BF81" t="s">
        <v>90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90</v>
      </c>
      <c r="BM81" t="s">
        <v>90</v>
      </c>
      <c r="BN81" t="s">
        <v>90</v>
      </c>
      <c r="BO81" t="s">
        <v>92</v>
      </c>
      <c r="BP81" t="s">
        <v>90</v>
      </c>
      <c r="BQ81" t="s">
        <v>90</v>
      </c>
      <c r="BR81" t="s">
        <v>748</v>
      </c>
    </row>
    <row r="82" spans="1:70" ht="15" customHeight="1" x14ac:dyDescent="0.25">
      <c r="A82" t="s">
        <v>754</v>
      </c>
      <c r="B82" t="s">
        <v>627</v>
      </c>
      <c r="C82" t="s">
        <v>73</v>
      </c>
      <c r="D82" t="s">
        <v>755</v>
      </c>
      <c r="E82" t="s">
        <v>75</v>
      </c>
      <c r="G82" t="s">
        <v>756</v>
      </c>
      <c r="H82" t="s">
        <v>757</v>
      </c>
      <c r="I82" t="s">
        <v>78</v>
      </c>
      <c r="J82" t="s">
        <v>79</v>
      </c>
      <c r="K82" t="s">
        <v>80</v>
      </c>
      <c r="L82" t="s">
        <v>758</v>
      </c>
      <c r="M82" t="s">
        <v>759</v>
      </c>
      <c r="N82" t="s">
        <v>83</v>
      </c>
      <c r="O82" t="s">
        <v>84</v>
      </c>
      <c r="P82" t="s">
        <v>85</v>
      </c>
      <c r="S82" t="s">
        <v>189</v>
      </c>
      <c r="T82">
        <v>1</v>
      </c>
      <c r="U82">
        <v>4</v>
      </c>
      <c r="V82" t="s">
        <v>110</v>
      </c>
      <c r="W82" t="s">
        <v>88</v>
      </c>
      <c r="X82" t="s">
        <v>89</v>
      </c>
      <c r="Y82" t="s">
        <v>90</v>
      </c>
      <c r="Z82" t="s">
        <v>760</v>
      </c>
      <c r="AA82" t="s">
        <v>92</v>
      </c>
      <c r="AB82" s="1" t="s">
        <v>761</v>
      </c>
      <c r="AC82" s="1">
        <v>1.74139E+18</v>
      </c>
      <c r="AD82" t="s">
        <v>90</v>
      </c>
      <c r="AE82" t="s">
        <v>90</v>
      </c>
      <c r="AF82" t="s">
        <v>94</v>
      </c>
      <c r="AG82" t="s">
        <v>90</v>
      </c>
      <c r="AH82" t="s">
        <v>762</v>
      </c>
      <c r="AI82" t="s">
        <v>96</v>
      </c>
      <c r="AJ82" t="s">
        <v>92</v>
      </c>
      <c r="AK82" t="s">
        <v>92</v>
      </c>
      <c r="AL82" t="s">
        <v>97</v>
      </c>
      <c r="AM82" t="s">
        <v>90</v>
      </c>
      <c r="AN82" t="s">
        <v>90</v>
      </c>
      <c r="AO82" t="s">
        <v>90</v>
      </c>
      <c r="AP82" t="s">
        <v>90</v>
      </c>
      <c r="AQ82" t="s">
        <v>90</v>
      </c>
      <c r="AR82" t="s">
        <v>90</v>
      </c>
      <c r="AS82" t="s">
        <v>90</v>
      </c>
      <c r="AT82" t="s">
        <v>90</v>
      </c>
      <c r="AU82" t="s">
        <v>90</v>
      </c>
      <c r="AV82" t="s">
        <v>90</v>
      </c>
      <c r="AW82" t="s">
        <v>90</v>
      </c>
      <c r="AX82" t="s">
        <v>90</v>
      </c>
      <c r="AY82" t="s">
        <v>90</v>
      </c>
      <c r="AZ82" t="s">
        <v>90</v>
      </c>
      <c r="BA82" t="s">
        <v>90</v>
      </c>
      <c r="BB82" t="s">
        <v>90</v>
      </c>
      <c r="BC82" t="s">
        <v>90</v>
      </c>
      <c r="BD82" t="s">
        <v>90</v>
      </c>
      <c r="BE82" t="s">
        <v>90</v>
      </c>
      <c r="BF82" t="s">
        <v>90</v>
      </c>
      <c r="BG82" t="s">
        <v>90</v>
      </c>
      <c r="BH82" t="s">
        <v>90</v>
      </c>
      <c r="BI82" t="s">
        <v>90</v>
      </c>
      <c r="BJ82" t="s">
        <v>90</v>
      </c>
      <c r="BK82" t="s">
        <v>90</v>
      </c>
      <c r="BL82" t="s">
        <v>90</v>
      </c>
      <c r="BM82" t="s">
        <v>90</v>
      </c>
      <c r="BN82" t="s">
        <v>90</v>
      </c>
      <c r="BO82" t="s">
        <v>92</v>
      </c>
      <c r="BP82" t="s">
        <v>90</v>
      </c>
      <c r="BQ82" t="s">
        <v>90</v>
      </c>
      <c r="BR82" t="s">
        <v>123</v>
      </c>
    </row>
    <row r="83" spans="1:70" ht="15" customHeight="1" x14ac:dyDescent="0.25">
      <c r="A83" t="s">
        <v>763</v>
      </c>
      <c r="B83" t="s">
        <v>738</v>
      </c>
      <c r="C83" t="s">
        <v>417</v>
      </c>
      <c r="D83" t="s">
        <v>90</v>
      </c>
      <c r="E83" t="s">
        <v>75</v>
      </c>
      <c r="G83" t="s">
        <v>764</v>
      </c>
      <c r="H83" t="s">
        <v>765</v>
      </c>
      <c r="L83" t="s">
        <v>569</v>
      </c>
      <c r="O83" t="s">
        <v>84</v>
      </c>
      <c r="P83" t="s">
        <v>159</v>
      </c>
      <c r="S83" t="s">
        <v>189</v>
      </c>
      <c r="BR83" t="s">
        <v>748</v>
      </c>
    </row>
  </sheetData>
  <autoFilter ref="A1:BS105" xr:uid="{B953F18F-A635-4B89-AF49-A5F6CF0B4A65}"/>
  <sortState xmlns:xlrd2="http://schemas.microsoft.com/office/spreadsheetml/2017/richdata2" ref="A1:BS6">
    <sortCondition ref="BR2:BR6"/>
    <sortCondition ref="S2:S6"/>
    <sortCondition ref="A2:A6"/>
  </sortState>
  <pageMargins left="0.7" right="0.7" top="0.75" bottom="0.75" header="0.3" footer="0.3"/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F7B6-ACEB-47DB-B8EC-BD2BABB59BE3}">
  <dimension ref="A1:P20"/>
  <sheetViews>
    <sheetView tabSelected="1" workbookViewId="0">
      <selection activeCell="G32" sqref="F32:G33"/>
    </sheetView>
  </sheetViews>
  <sheetFormatPr baseColWidth="10" defaultColWidth="11.42578125" defaultRowHeight="15" x14ac:dyDescent="0.25"/>
  <cols>
    <col min="2" max="2" width="14.7109375" bestFit="1" customWidth="1"/>
    <col min="3" max="3" width="12.7109375" customWidth="1"/>
    <col min="4" max="4" width="8.7109375" bestFit="1" customWidth="1"/>
    <col min="9" max="9" width="14.5703125" customWidth="1"/>
    <col min="11" max="11" width="15.28515625" customWidth="1"/>
    <col min="12" max="12" width="10.85546875" customWidth="1"/>
  </cols>
  <sheetData>
    <row r="1" spans="1:16" s="30" customFormat="1" x14ac:dyDescent="0.25">
      <c r="A1" s="31"/>
      <c r="B1" s="31" t="s">
        <v>766</v>
      </c>
      <c r="C1" s="31" t="s">
        <v>810</v>
      </c>
      <c r="D1" s="31" t="s">
        <v>811</v>
      </c>
      <c r="E1" s="30" t="s">
        <v>771</v>
      </c>
    </row>
    <row r="2" spans="1:16" s="30" customFormat="1" x14ac:dyDescent="0.25">
      <c r="A2" s="31"/>
      <c r="B2" s="31" t="s">
        <v>767</v>
      </c>
      <c r="C2" s="31" t="s">
        <v>768</v>
      </c>
      <c r="D2" s="31" t="s">
        <v>189</v>
      </c>
      <c r="E2" s="30" t="s">
        <v>771</v>
      </c>
    </row>
    <row r="3" spans="1:16" s="30" customFormat="1" x14ac:dyDescent="0.25">
      <c r="A3" s="31"/>
      <c r="B3" s="31" t="s">
        <v>769</v>
      </c>
      <c r="C3" s="31" t="s">
        <v>115</v>
      </c>
      <c r="D3" s="31" t="s">
        <v>770</v>
      </c>
      <c r="E3" s="30" t="s">
        <v>771</v>
      </c>
    </row>
    <row r="4" spans="1:16" s="30" customFormat="1" x14ac:dyDescent="0.25">
      <c r="A4" s="31"/>
      <c r="B4" s="31" t="s">
        <v>772</v>
      </c>
      <c r="C4" s="31" t="s">
        <v>773</v>
      </c>
      <c r="D4" s="31" t="s">
        <v>774</v>
      </c>
      <c r="E4" s="30" t="s">
        <v>771</v>
      </c>
    </row>
    <row r="5" spans="1:16" s="30" customFormat="1" x14ac:dyDescent="0.25">
      <c r="A5" s="31"/>
      <c r="B5" s="31" t="s">
        <v>775</v>
      </c>
      <c r="C5" s="31" t="s">
        <v>776</v>
      </c>
      <c r="D5" s="31" t="s">
        <v>777</v>
      </c>
      <c r="E5" s="30" t="s">
        <v>771</v>
      </c>
    </row>
    <row r="6" spans="1:16" s="30" customFormat="1" x14ac:dyDescent="0.25">
      <c r="A6" s="31"/>
      <c r="B6" s="31" t="s">
        <v>778</v>
      </c>
      <c r="C6" s="31" t="s">
        <v>779</v>
      </c>
      <c r="D6" s="31" t="s">
        <v>780</v>
      </c>
      <c r="E6" s="30" t="s">
        <v>771</v>
      </c>
    </row>
    <row r="7" spans="1:16" x14ac:dyDescent="0.25">
      <c r="A7" s="32"/>
      <c r="B7" s="32" t="s">
        <v>781</v>
      </c>
      <c r="C7" s="32" t="s">
        <v>627</v>
      </c>
      <c r="D7" s="32" t="s">
        <v>782</v>
      </c>
      <c r="E7" s="32" t="s">
        <v>771</v>
      </c>
    </row>
    <row r="8" spans="1:16" ht="16.5" x14ac:dyDescent="0.35">
      <c r="A8" s="32"/>
      <c r="B8" s="32" t="s">
        <v>783</v>
      </c>
      <c r="C8" s="33" t="s">
        <v>784</v>
      </c>
      <c r="D8" s="32" t="s">
        <v>785</v>
      </c>
      <c r="E8" s="32" t="s">
        <v>771</v>
      </c>
      <c r="F8" s="32"/>
    </row>
    <row r="9" spans="1:16" s="30" customFormat="1" x14ac:dyDescent="0.25">
      <c r="A9" s="31"/>
      <c r="B9" s="31" t="s">
        <v>786</v>
      </c>
      <c r="C9" s="31" t="s">
        <v>98</v>
      </c>
      <c r="D9" s="31" t="s">
        <v>787</v>
      </c>
      <c r="E9" s="30" t="s">
        <v>771</v>
      </c>
    </row>
    <row r="10" spans="1:16" s="30" customFormat="1" x14ac:dyDescent="0.25">
      <c r="A10" s="31"/>
      <c r="B10" s="31" t="s">
        <v>788</v>
      </c>
      <c r="C10" s="31" t="s">
        <v>789</v>
      </c>
      <c r="D10" s="31" t="s">
        <v>770</v>
      </c>
      <c r="E10" s="30" t="s">
        <v>771</v>
      </c>
    </row>
    <row r="11" spans="1:16" x14ac:dyDescent="0.25">
      <c r="A11" s="32"/>
      <c r="B11" s="32" t="s">
        <v>790</v>
      </c>
      <c r="C11" s="32" t="s">
        <v>791</v>
      </c>
      <c r="D11" s="32" t="s">
        <v>780</v>
      </c>
      <c r="E11" s="30" t="s">
        <v>771</v>
      </c>
    </row>
    <row r="12" spans="1:16" s="30" customFormat="1" x14ac:dyDescent="0.25">
      <c r="A12" s="31"/>
      <c r="B12" s="31" t="s">
        <v>792</v>
      </c>
      <c r="C12" s="31" t="s">
        <v>793</v>
      </c>
      <c r="D12" s="31" t="s">
        <v>774</v>
      </c>
      <c r="E12" s="30" t="s">
        <v>771</v>
      </c>
    </row>
    <row r="14" spans="1:16" x14ac:dyDescent="0.25">
      <c r="J14" s="34"/>
      <c r="K14" s="34"/>
      <c r="L14" s="34"/>
      <c r="M14" s="34"/>
      <c r="N14" s="34"/>
      <c r="O14" s="34"/>
      <c r="P14" s="34"/>
    </row>
    <row r="15" spans="1:16" x14ac:dyDescent="0.25">
      <c r="J15" s="34"/>
      <c r="K15" s="34"/>
      <c r="L15" s="34"/>
      <c r="M15" s="34"/>
      <c r="N15" s="34"/>
      <c r="O15" s="34"/>
      <c r="P15" s="34"/>
    </row>
    <row r="16" spans="1:16" x14ac:dyDescent="0.25">
      <c r="J16" s="34"/>
      <c r="K16" s="34"/>
      <c r="L16" s="34"/>
      <c r="M16" s="34"/>
      <c r="N16" s="34"/>
      <c r="O16" s="34"/>
      <c r="P16" s="34"/>
    </row>
    <row r="17" spans="10:16" x14ac:dyDescent="0.25">
      <c r="J17" s="34"/>
      <c r="K17" s="34"/>
      <c r="L17" s="34"/>
      <c r="M17" s="34"/>
      <c r="N17" s="34"/>
      <c r="O17" s="34"/>
      <c r="P17" s="34"/>
    </row>
    <row r="18" spans="10:16" x14ac:dyDescent="0.25">
      <c r="J18" s="34"/>
      <c r="K18" s="34"/>
      <c r="L18" s="34"/>
      <c r="M18" s="34"/>
      <c r="N18" s="34"/>
      <c r="O18" s="34"/>
      <c r="P18" s="34"/>
    </row>
    <row r="19" spans="10:16" x14ac:dyDescent="0.25">
      <c r="J19" s="34"/>
      <c r="K19" s="34"/>
      <c r="L19" s="34"/>
      <c r="M19" s="34"/>
      <c r="N19" s="34"/>
      <c r="O19" s="34"/>
      <c r="P19" s="34"/>
    </row>
    <row r="20" spans="10:16" x14ac:dyDescent="0.25">
      <c r="J20" s="34"/>
      <c r="K20" s="34"/>
      <c r="L20" s="34"/>
      <c r="M20" s="34"/>
      <c r="N20" s="34"/>
      <c r="O20" s="34"/>
      <c r="P20" s="34"/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26D7-9093-4CE1-8F84-C44DE16F58C3}">
  <dimension ref="B1:F9"/>
  <sheetViews>
    <sheetView workbookViewId="0">
      <selection activeCell="H6" sqref="H6"/>
    </sheetView>
  </sheetViews>
  <sheetFormatPr baseColWidth="10" defaultColWidth="9.140625" defaultRowHeight="15" x14ac:dyDescent="0.25"/>
  <cols>
    <col min="1" max="1" width="24.5703125" bestFit="1" customWidth="1"/>
    <col min="2" max="3" width="25.140625" customWidth="1"/>
    <col min="4" max="4" width="19.140625" customWidth="1"/>
    <col min="5" max="5" width="20.140625" customWidth="1"/>
    <col min="6" max="6" width="15.85546875" bestFit="1" customWidth="1"/>
  </cols>
  <sheetData>
    <row r="1" spans="2:6" ht="15.75" thickBot="1" x14ac:dyDescent="0.3"/>
    <row r="2" spans="2:6" ht="15.75" thickBot="1" x14ac:dyDescent="0.3">
      <c r="B2" s="6" t="s">
        <v>794</v>
      </c>
      <c r="C2" s="18">
        <f>C7+C8</f>
        <v>74</v>
      </c>
      <c r="D2" s="23" t="s">
        <v>795</v>
      </c>
      <c r="E2" s="23">
        <f>C2-E7-E8</f>
        <v>1</v>
      </c>
      <c r="F2" s="23" t="s">
        <v>796</v>
      </c>
    </row>
    <row r="3" spans="2:6" ht="15.75" thickBot="1" x14ac:dyDescent="0.3">
      <c r="B3" s="17" t="s">
        <v>797</v>
      </c>
      <c r="C3" s="19" cm="1">
        <f t="array" ref="C3">SUMPRODUCT((Parc!$C$2:$C$105="a changer")*(Parc!$E$2:$E$105="laptop"))</f>
        <v>28</v>
      </c>
      <c r="D3" s="23" t="s">
        <v>798</v>
      </c>
      <c r="E3" s="23" cm="1">
        <f t="array" ref="E3">SUMPRODUCT((Parc!$E$2:$E$105="laptop")*(ISNUMBER(SEARCH("changé",Parc!D2:D105))))</f>
        <v>28</v>
      </c>
      <c r="F3">
        <f t="shared" ref="F3:F4" si="0">C3-E3</f>
        <v>0</v>
      </c>
    </row>
    <row r="4" spans="2:6" x14ac:dyDescent="0.25">
      <c r="B4" s="17" t="s">
        <v>799</v>
      </c>
      <c r="C4" s="19" cm="1">
        <f t="array" ref="C4">SUMPRODUCT((Parc!$C$2:$C$105="Update")*(Parc!$E$2:$E$105="laptop"))</f>
        <v>6</v>
      </c>
      <c r="D4" s="23" t="s">
        <v>800</v>
      </c>
      <c r="E4" s="23" cm="1">
        <f t="array" ref="E4">SUMPRODUCT((Parc!$E$2:$E$105="laptop")*(ISNUMBER(SEARCH("maj",Parc!D2:D105))))</f>
        <v>6</v>
      </c>
      <c r="F4">
        <f t="shared" si="0"/>
        <v>0</v>
      </c>
    </row>
    <row r="5" spans="2:6" x14ac:dyDescent="0.25">
      <c r="B5" s="17" t="s">
        <v>801</v>
      </c>
      <c r="C5" s="19" cm="1">
        <f t="array" ref="C5">SUMPRODUCT((Parc!$C$2:$C$105="a changer")*(Parc!$E$2:$E$105="desktop"))</f>
        <v>4</v>
      </c>
      <c r="D5" s="23" t="s">
        <v>802</v>
      </c>
      <c r="E5" s="23" cm="1">
        <f t="array" ref="E5">SUMPRODUCT((Parc!$E$2:$E$105="desktop")*(ISNUMBER(SEARCH("changé",Parc!D2:D105))))</f>
        <v>4</v>
      </c>
      <c r="F5">
        <f>C5-E5</f>
        <v>0</v>
      </c>
    </row>
    <row r="6" spans="2:6" x14ac:dyDescent="0.25">
      <c r="B6" s="17" t="s">
        <v>803</v>
      </c>
      <c r="C6" s="19" cm="1">
        <f t="array" ref="C6">SUMPRODUCT((Parc!$C$2:$C$105="Update")*(Parc!$E$2:$E$105="desktop"))</f>
        <v>36</v>
      </c>
      <c r="D6" s="23" t="s">
        <v>804</v>
      </c>
      <c r="E6" s="23" cm="1">
        <f t="array" ref="E6">SUMPRODUCT((Parc!$E$2:$E$105="desktop")*(ISNUMBER(SEARCH("maj",Parc!D2:D105))))</f>
        <v>35</v>
      </c>
      <c r="F6">
        <f>C6-E6</f>
        <v>1</v>
      </c>
    </row>
    <row r="7" spans="2:6" x14ac:dyDescent="0.25">
      <c r="B7" s="7" t="s">
        <v>805</v>
      </c>
      <c r="C7" s="20">
        <f>COUNTIF(Parc!C:C,"a changer")</f>
        <v>32</v>
      </c>
      <c r="D7" s="23" t="s">
        <v>806</v>
      </c>
      <c r="E7" s="24" cm="1">
        <f t="array" ref="E7">SUMPRODUCT(--(ISNUMBER(SEARCH("changé",Parc!D:D))))</f>
        <v>32</v>
      </c>
      <c r="F7">
        <f>C7-E7</f>
        <v>0</v>
      </c>
    </row>
    <row r="8" spans="2:6" x14ac:dyDescent="0.25">
      <c r="B8" s="16" t="s">
        <v>807</v>
      </c>
      <c r="C8" s="21">
        <f>COUNTIF(Parc!C:C,"UPDATE")</f>
        <v>42</v>
      </c>
      <c r="D8" s="23" t="s">
        <v>808</v>
      </c>
      <c r="E8" s="24" cm="1">
        <f t="array" ref="E8">SUMPRODUCT(--(ISNUMBER(SEARCH("MAJ",Parc!D:D))))</f>
        <v>41</v>
      </c>
      <c r="F8">
        <f>C8-E8</f>
        <v>1</v>
      </c>
    </row>
    <row r="9" spans="2:6" x14ac:dyDescent="0.25">
      <c r="B9" s="8" t="s">
        <v>809</v>
      </c>
      <c r="C9" s="22">
        <f>COUNTIF(Parc!C:C,"NE PAS TOUCHER")</f>
        <v>8</v>
      </c>
      <c r="D9" s="23"/>
      <c r="E9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4384C44F68C54589D57D02DFE6D55D" ma:contentTypeVersion="10" ma:contentTypeDescription="Crée un document." ma:contentTypeScope="" ma:versionID="70146a8ff3b633db0c633e2b50b86de3">
  <xsd:schema xmlns:xsd="http://www.w3.org/2001/XMLSchema" xmlns:xs="http://www.w3.org/2001/XMLSchema" xmlns:p="http://schemas.microsoft.com/office/2006/metadata/properties" xmlns:ns2="300c7ec1-270a-42ec-8f90-115fad3549cc" xmlns:ns3="8c991a5e-5fd7-4e40-a7a2-c20e79a93ecd" targetNamespace="http://schemas.microsoft.com/office/2006/metadata/properties" ma:root="true" ma:fieldsID="43a750d9a6d8828a886366d2d00e58a6" ns2:_="" ns3:_="">
    <xsd:import namespace="300c7ec1-270a-42ec-8f90-115fad3549cc"/>
    <xsd:import namespace="8c991a5e-5fd7-4e40-a7a2-c20e79a93e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c7ec1-270a-42ec-8f90-115fad3549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6833c5ae-850b-4e00-ba88-71e23b2a1d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91a5e-5fd7-4e40-a7a2-c20e79a93e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53e1e17-c16f-4625-9722-e0823b35c97c}" ma:internalName="TaxCatchAll" ma:showField="CatchAllData" ma:web="8c991a5e-5fd7-4e40-a7a2-c20e79a93e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991a5e-5fd7-4e40-a7a2-c20e79a93ecd" xsi:nil="true"/>
    <lcf76f155ced4ddcb4097134ff3c332f xmlns="300c7ec1-270a-42ec-8f90-115fad3549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15B09B-46F8-4972-9BEB-C97F241025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0c7ec1-270a-42ec-8f90-115fad3549cc"/>
    <ds:schemaRef ds:uri="8c991a5e-5fd7-4e40-a7a2-c20e79a93e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3D6DD1-1CFA-4802-8C21-524503C241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0903C5-9494-4214-8F06-4AD1B1721E26}">
  <ds:schemaRefs>
    <ds:schemaRef ds:uri="8c991a5e-5fd7-4e40-a7a2-c20e79a93ecd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300c7ec1-270a-42ec-8f90-115fad3549cc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Parc</vt:lpstr>
      <vt:lpstr>W11-&gt;25H2</vt:lpstr>
      <vt:lpstr>Avancement</vt:lpstr>
      <vt:lpstr>ZZZ</vt:lpstr>
      <vt:lpstr>ZZZ105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Viken NADAR</cp:lastModifiedBy>
  <cp:revision/>
  <dcterms:created xsi:type="dcterms:W3CDTF">2025-06-03T09:07:09Z</dcterms:created>
  <dcterms:modified xsi:type="dcterms:W3CDTF">2026-02-10T14:09:05Z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0x010100CB4384C44F68C54589D57D02DFE6D55D</vt:lpwstr>
  </property>
  <property fmtid="{D5CDD505-2E9C-101B-9397-08002B2CF9AE}" pid="3" name="MediaServiceImageTags">
    <vt:lpwstr/>
  </property>
</Properties>
</file>